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ntinuity Ladder" sheetId="2" state="visible" r:id="rId4"/>
    <sheet name="Module Matrix" sheetId="3" state="visible" r:id="rId5"/>
    <sheet name="Domain Summary" sheetId="4" state="visible" r:id="rId6"/>
    <sheet name="Agent Portfolio" sheetId="5" state="visible" r:id="rId7"/>
    <sheet name="Pricing Model" sheetId="6" state="visible" r:id="rId8"/>
  </sheets>
  <definedNames>
    <definedName function="false" hidden="true" localSheetId="2" name="_xlnm._FilterDatabase" vbProcedure="false">'Module Matrix'!$A$4:$H$207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<sst xmlns="http://schemas.openxmlformats.org/spreadsheetml/2006/main" count="1712" uniqueCount="864">
  <si>
    <t xml:space="preserve">KEEL — Agentic HR Operating System</t>
  </si>
  <si>
    <t xml:space="preserve">Part 3 — Module &amp; Continuity Matrix</t>
  </si>
  <si>
    <t xml:space="preserve">Companion workbook to the Research Report (Part 1), Strategy Document (Part 2) and Investor Deck (Part 4).</t>
  </si>
  <si>
    <t xml:space="preserve">PURPOSE</t>
  </si>
  <si>
    <t xml:space="preserve">Every HRIS module in scope, with its manual (non-AI) path, its agent capability, its autonomy ceiling, and exactly what happens to it at each level of the Continuity Ladder. This is the artifact that proves the platform runs without AI.</t>
  </si>
  <si>
    <t xml:space="preserve">THE BUILD RULE</t>
  </si>
  <si>
    <t xml:space="preserve">The manual path ships BEFORE the agent path. Always. Every Transaction Intent an agent can emit must have a corresponding human UI route, verified by automated architectural test in CI.</t>
  </si>
  <si>
    <t xml:space="preserve">SHEETS</t>
  </si>
  <si>
    <t xml:space="preserve">  Continuity Ladder</t>
  </si>
  <si>
    <t xml:space="preserve">Definition of levels L0-L4, triggers, and the contractual commitment at each level.</t>
  </si>
  <si>
    <t xml:space="preserve">  Module Matrix</t>
  </si>
  <si>
    <t xml:space="preserve">The complete module inventory. 16 domains. Manual path, agent capability, autonomy ceiling, degradation behaviour, build horizon.</t>
  </si>
  <si>
    <t xml:space="preserve">  Domain Summary</t>
  </si>
  <si>
    <t xml:space="preserve">Live counts by domain and horizon. Formula-driven from Module Matrix.</t>
  </si>
  <si>
    <t xml:space="preserve">  Agent Portfolio</t>
  </si>
  <si>
    <t xml:space="preserve">Every agent, its charter, its accountable owner role, and its hard autonomy ceiling.</t>
  </si>
  <si>
    <t xml:space="preserve">  Pricing Model</t>
  </si>
  <si>
    <t xml:space="preserve">Illustrative unit economics. Blue cells are inputs — edit those. Black cells are formulas.</t>
  </si>
  <si>
    <t xml:space="preserve">AUTONOMY CEILING KEY</t>
  </si>
  <si>
    <t xml:space="preserve">  L0</t>
  </si>
  <si>
    <t xml:space="preserve">Agent may execute autonomously within charter and budget. Human notified; action reversible.</t>
  </si>
  <si>
    <t xml:space="preserve">  L1</t>
  </si>
  <si>
    <t xml:space="preserve">Agent proposes with deterministic simulation attached. Human approves before execution. HARD CEILING for any decision affecting pay, promotion, discipline or termination — enforced in code, not configuration.</t>
  </si>
  <si>
    <t xml:space="preserve">  L2</t>
  </si>
  <si>
    <t xml:space="preserve">Agent may draft, summarise, explain or search only. No transaction authority.</t>
  </si>
  <si>
    <t xml:space="preserve">  n/a</t>
  </si>
  <si>
    <t xml:space="preserve">No agent capability. Deterministic module only.</t>
  </si>
  <si>
    <t xml:space="preserve">HORIZON KEY</t>
  </si>
  <si>
    <t xml:space="preserve">  H1</t>
  </si>
  <si>
    <t xml:space="preserve">Months 0-18. The Keel. Deterministic core + payroll-critical modules. AI optional throughout.</t>
  </si>
  <si>
    <t xml:space="preserve">  H2</t>
  </si>
  <si>
    <t xml:space="preserve">Months 12-36. The Agent Plane. Governed autonomy + talent/performance/learning breadth.</t>
  </si>
  <si>
    <t xml:space="preserve">  H3</t>
  </si>
  <si>
    <t xml:space="preserve">Months 30-60. The Operating System. Workforce Register, marketplace, planning, agent commerce.</t>
  </si>
  <si>
    <t xml:space="preserve">SOURCE NOTE</t>
  </si>
  <si>
    <t xml:space="preserve">Module scope was derived from the functional surface of the ten leading SaaS HRIS/HCM suites reviewed in Part 1 (Workday, SAP SuccessFactors, Oracle HCM, ADP, UKG, Dayforce, Rippling, Deel, HiBob/BambooHR/Personio, Darwinbox/Paycom/Paylocity), plus statutory requirements in the Horizon 1 target jurisdictions. Pricing figures are illustrative planning assumptions supplied by the founder, not quotes or forecasts.</t>
  </si>
  <si>
    <t xml:space="preserve">The Continuity Ladder</t>
  </si>
  <si>
    <t xml:space="preserve">The published, contractual behaviour of the platform as AI availability degrades. No competitor publishes this.</t>
  </si>
  <si>
    <t xml:space="preserve">Level</t>
  </si>
  <si>
    <t xml:space="preserve">Name</t>
  </si>
  <si>
    <t xml:space="preserve">What operates</t>
  </si>
  <si>
    <t xml:space="preserve">Trigger</t>
  </si>
  <si>
    <t xml:space="preserve">Customer experience</t>
  </si>
  <si>
    <t xml:space="preserve">Contractual commitment</t>
  </si>
  <si>
    <t xml:space="preserve">L0</t>
  </si>
  <si>
    <t xml:space="preserve">Autonomous</t>
  </si>
  <si>
    <t xml:space="preserve">Agents execute within charter, budget and autonomy ceiling. Every action is a validated deterministic transaction. Human notified; fully reversible from the ledger.</t>
  </si>
  <si>
    <t xml:space="preserve">Normal operation, for pre-approved transaction classes only.</t>
  </si>
  <si>
    <t xml:space="preserve">Work completes before you ask for it. Notification, not request.</t>
  </si>
  <si>
    <t xml:space="preserve">Standard platform SLA. Every L0 action reversible within the retention window.</t>
  </si>
  <si>
    <t xml:space="preserve">L1</t>
  </si>
  <si>
    <t xml:space="preserve">Supervised</t>
  </si>
  <si>
    <t xml:space="preserve">Agents propose Transaction Intents with a deterministic simulation of the effect attached. Human approves in-flow. Nothing commits without a named approver.</t>
  </si>
  <si>
    <t xml:space="preserve">Default for all material decisions. Hard ceiling for pay, promotion, discipline and termination.</t>
  </si>
  <si>
    <t xml:space="preserve">One-click approval with full context and projected effect. No black boxes.</t>
  </si>
  <si>
    <t xml:space="preserve">Standard platform SLA. Decision Record generated for every approval.</t>
  </si>
  <si>
    <t xml:space="preserve">L2</t>
  </si>
  <si>
    <t xml:space="preserve">Assisted</t>
  </si>
  <si>
    <t xml:space="preserve">Agents draft, summarise, explain, search and answer. Zero transaction authority. All execution manual.</t>
  </si>
  <si>
    <t xml:space="preserve">Elevated risk detected, budget near ceiling, model drift flagged by the evaluation harness, or customer preference.</t>
  </si>
  <si>
    <t xml:space="preserve">A capable copilot. All work still gets done, just with more clicks.</t>
  </si>
  <si>
    <t xml:space="preserve">Standard platform SLA. Automatic, announced entry — never silent.</t>
  </si>
  <si>
    <t xml:space="preserve">L3</t>
  </si>
  <si>
    <t xml:space="preserve">Deterministic</t>
  </si>
  <si>
    <t xml:space="preserve">ZERO LLM involvement. The complete HRIS: all 16 domains, all workflows, all calculations, all batch jobs, all reports, all integrations, all statutory filings. Payroll runs. Everything runs.</t>
  </si>
  <si>
    <t xml:space="preserve">LLM provider outage, customer kill-switch, legal hold, regulatory order, or customer policy.</t>
  </si>
  <si>
    <t xml:space="preserve">A complete, competitive HRIS — functionally indistinguishable from a best-in-class conventional system. Slower, never smaller.</t>
  </si>
  <si>
    <t xml:space="preserve">HIGHEST availability commitment of any level, because it has the fewest dependencies. Independently attested annually.</t>
  </si>
  <si>
    <t xml:space="preserve">L4</t>
  </si>
  <si>
    <t xml:space="preserve">Continuity</t>
  </si>
  <si>
    <t xml:space="preserve">Read-only authoritative core, offline time capture with buffered sync, break-glass approvals under dual control, and emergency payroll from last-good validated state. Signed statutory packs (payroll register, attendance, leave balances, bank instruction files, statutory return drafts) already in the customer's hands.</t>
  </si>
  <si>
    <t xml:space="preserve">Regional infrastructure failure, network partition, declared disaster recovery event.</t>
  </si>
  <si>
    <t xml:space="preserve">Payroll still runs. People still get paid. The business does not stop.</t>
  </si>
  <si>
    <t xml:space="preserve">Statutory packs generated and delivered every cycle whether requested or not. DR procedure tested and evidenced quarterly.</t>
  </si>
  <si>
    <t xml:space="preserve">DESIGN RULES THAT MAKE THIS REAL</t>
  </si>
  <si>
    <t xml:space="preserve">1. No capability exists only in the agent plane. Every Transaction Intent type has a manual UI route, verified in CI.</t>
  </si>
  <si>
    <t xml:space="preserve">2. No calculation depends on a model. Payroll, accruals, entitlements, costing, tax and statutory contributions are compiled deterministic policy.</t>
  </si>
  <si>
    <t xml:space="preserve">3. The kill switch is instant, scoped (tenant / entity / branch / module / agent class / single agent) and audited. Sub-second. Two approvers above L1.</t>
  </si>
  <si>
    <t xml:space="preserve">4. L3 is continuously tested, not theoretically available. Weekly automated game-days; monthly L3 window in every customer sandbox; results published to the customer.</t>
  </si>
  <si>
    <t xml:space="preserve">5. L4 has a physical fallback. Signed statutory packs generate every cycle regardless of whether anyone asks for them.</t>
  </si>
  <si>
    <t xml:space="preserve">6. Degradation is announced, never silent. Persistent visible mode banner. The customer always knows the level and the reason.</t>
  </si>
  <si>
    <t xml:space="preserve">Module &amp; Continuity Matrix</t>
  </si>
  <si>
    <t xml:space="preserve">Every module. Manual path first. Agent capability second. Degradation behaviour always specified.</t>
  </si>
  <si>
    <t xml:space="preserve">#</t>
  </si>
  <si>
    <t xml:space="preserve">Domain</t>
  </si>
  <si>
    <t xml:space="preserve">Module</t>
  </si>
  <si>
    <t xml:space="preserve">Manual path (L3-complete)</t>
  </si>
  <si>
    <t xml:space="preserve">Agent capability</t>
  </si>
  <si>
    <t xml:space="preserve">Autonomy ceiling</t>
  </si>
  <si>
    <t xml:space="preserve">Behaviour at L3 (no AI)</t>
  </si>
  <si>
    <t xml:space="preserve">Horizon</t>
  </si>
  <si>
    <t xml:space="preserve">1. Foundation &amp; Tenancy</t>
  </si>
  <si>
    <t xml:space="preserve">Tenant administration</t>
  </si>
  <si>
    <t xml:space="preserve">Full admin console: provisioning, keys, residency, retention, feature flags</t>
  </si>
  <si>
    <t xml:space="preserve">Config drift detection; recommends corrections</t>
  </si>
  <si>
    <t xml:space="preserve">Fully operational</t>
  </si>
  <si>
    <t xml:space="preserve">H1</t>
  </si>
  <si>
    <t xml:space="preserve">Corporate group registry</t>
  </si>
  <si>
    <t xml:space="preserve">Group hierarchy modelling with effective dating</t>
  </si>
  <si>
    <t xml:space="preserve">None</t>
  </si>
  <si>
    <t xml:space="preserve">n/a</t>
  </si>
  <si>
    <t xml:space="preserve">Legal entity master</t>
  </si>
  <si>
    <t xml:space="preserve">Statutory profile, tax registrations, currency, fiscal calendar per entity</t>
  </si>
  <si>
    <t xml:space="preserve">Drafts entity setup from registration documents</t>
  </si>
  <si>
    <t xml:space="preserve">Branch / establishment master</t>
  </si>
  <si>
    <t xml:space="preserve">Working-time rules, local registrations, holiday calendars, cost centres</t>
  </si>
  <si>
    <t xml:space="preserve">Drafts branch config from a peer branch</t>
  </si>
  <si>
    <t xml:space="preserve">Organisation structure</t>
  </si>
  <si>
    <t xml:space="preserve">Versioned, effective-dated org units with as-of reconstruction</t>
  </si>
  <si>
    <t xml:space="preserve">Proposes restructure models; simulates cost impact</t>
  </si>
  <si>
    <t xml:space="preserve">Position management</t>
  </si>
  <si>
    <t xml:space="preserve">Establishment control, position budgeting, vacancy tracking</t>
  </si>
  <si>
    <t xml:space="preserve">Flags over-establishment; proposes reallocation</t>
  </si>
  <si>
    <t xml:space="preserve">Job architecture &amp; catalogue</t>
  </si>
  <si>
    <t xml:space="preserve">Job families, levels, descriptions, versioned</t>
  </si>
  <si>
    <t xml:space="preserve">Drafts job descriptions; maps to skills ontology</t>
  </si>
  <si>
    <t xml:space="preserve">Grade &amp; band structures</t>
  </si>
  <si>
    <t xml:space="preserve">Grade tables, progression rules, effective dating</t>
  </si>
  <si>
    <t xml:space="preserve">Cost centre &amp; GL mapping</t>
  </si>
  <si>
    <t xml:space="preserve">Multi-dimensional cost allocation rules per entity</t>
  </si>
  <si>
    <t xml:space="preserve">Detects unmapped costs; proposes mapping</t>
  </si>
  <si>
    <t xml:space="preserve">Work &amp; holiday calendars</t>
  </si>
  <si>
    <t xml:space="preserve">Per entity, branch, shift group; statutory holiday packs</t>
  </si>
  <si>
    <t xml:space="preserve">Ingests published holiday gazettes into draft calendars</t>
  </si>
  <si>
    <t xml:space="preserve">Currency &amp; FX</t>
  </si>
  <si>
    <t xml:space="preserve">Multi-currency with rate sources and effective dating</t>
  </si>
  <si>
    <t xml:space="preserve">RBAC / ABAC authorisation</t>
  </si>
  <si>
    <t xml:space="preserve">Role, attribute and scope-based access enforced in the kernel</t>
  </si>
  <si>
    <t xml:space="preserve">Detects over-privileged roles; proposes least-privilege</t>
  </si>
  <si>
    <t xml:space="preserve">Delegation &amp; proxy</t>
  </si>
  <si>
    <t xml:space="preserve">Time-boxed delegation with full attribution</t>
  </si>
  <si>
    <t xml:space="preserve">Segregation-of-duties matrix</t>
  </si>
  <si>
    <t xml:space="preserve">SoD rules enforced at the Control Gate for humans and agents alike</t>
  </si>
  <si>
    <t xml:space="preserve">Detects SoD conflicts across role assignments</t>
  </si>
  <si>
    <t xml:space="preserve">Audit &amp; event log</t>
  </si>
  <si>
    <t xml:space="preserve">Immutable bitemporal event log; every state reconstructible</t>
  </si>
  <si>
    <t xml:space="preserve">Natural-language audit query over the log</t>
  </si>
  <si>
    <t xml:space="preserve">Fully operational (log is the substrate)</t>
  </si>
  <si>
    <t xml:space="preserve">Data residency &amp; retention</t>
  </si>
  <si>
    <t xml:space="preserve">Per-entity residency and retention policy enforcement</t>
  </si>
  <si>
    <t xml:space="preserve">Flags retention breaches</t>
  </si>
  <si>
    <t xml:space="preserve">2. Core HR</t>
  </si>
  <si>
    <t xml:space="preserve">Employee master (bitemporal)</t>
  </si>
  <si>
    <t xml:space="preserve">Full CRUD with valid-time and transaction-time, as-of reconstruction</t>
  </si>
  <si>
    <t xml:space="preserve">Drafts record updates from documents</t>
  </si>
  <si>
    <t xml:space="preserve">Personal, contact &amp; dependent data</t>
  </si>
  <si>
    <t xml:space="preserve">Employee-maintained with approval workflow</t>
  </si>
  <si>
    <t xml:space="preserve">Extracts from uploaded documents into a draft</t>
  </si>
  <si>
    <t xml:space="preserve">Job &amp; assignment history</t>
  </si>
  <si>
    <t xml:space="preserve">Complete effective-dated assignment chain</t>
  </si>
  <si>
    <t xml:space="preserve">Explains history in natural language</t>
  </si>
  <si>
    <t xml:space="preserve">Contract management</t>
  </si>
  <si>
    <t xml:space="preserve">Contract types, terms, renewals, expiry alerting</t>
  </si>
  <si>
    <t xml:space="preserve">Drafts contracts from templates; flags expiries</t>
  </si>
  <si>
    <t xml:space="preserve">Fully operational (alerts via deterministic scheduler)</t>
  </si>
  <si>
    <t xml:space="preserve">Document vault</t>
  </si>
  <si>
    <t xml:space="preserve">Categorised, permissioned, retention-governed storage</t>
  </si>
  <si>
    <t xml:space="preserve">Classifies and extracts metadata on upload</t>
  </si>
  <si>
    <t xml:space="preserve">Fully operational (manual classification)</t>
  </si>
  <si>
    <t xml:space="preserve">IDs, visas &amp; work permits</t>
  </si>
  <si>
    <t xml:space="preserve">Expiry tracking with deterministic escalation ladder</t>
  </si>
  <si>
    <t xml:space="preserve">Reads permit documents; drafts renewal tasks</t>
  </si>
  <si>
    <t xml:space="preserve">Licences &amp; certifications</t>
  </si>
  <si>
    <t xml:space="preserve">Renewal enforcement with role-blocking on lapse</t>
  </si>
  <si>
    <t xml:space="preserve">Monitors external registries where available</t>
  </si>
  <si>
    <t xml:space="preserve">Asset assignment</t>
  </si>
  <si>
    <t xml:space="preserve">Issue, return, condition, cost recovery on exit</t>
  </si>
  <si>
    <t xml:space="preserve">Reconciles asset register against IT systems</t>
  </si>
  <si>
    <t xml:space="preserve">Emergency contacts</t>
  </si>
  <si>
    <t xml:space="preserve">Employee self-service maintenance</t>
  </si>
  <si>
    <t xml:space="preserve">Letter &amp; document generation</t>
  </si>
  <si>
    <t xml:space="preserve">Template engine with merge fields from the ledger</t>
  </si>
  <si>
    <t xml:space="preserve">Drafts non-standard letters for approval</t>
  </si>
  <si>
    <t xml:space="preserve">Fully operational (templates only)</t>
  </si>
  <si>
    <t xml:space="preserve">Org chart (as-of any date)</t>
  </si>
  <si>
    <t xml:space="preserve">Interactive, historical, exportable</t>
  </si>
  <si>
    <t xml:space="preserve">Answers org questions conversationally</t>
  </si>
  <si>
    <t xml:space="preserve">Employee self-service</t>
  </si>
  <si>
    <t xml:space="preserve">Complete web and mobile ESS for every employee-facing transaction</t>
  </si>
  <si>
    <t xml:space="preserve">Conversational front door to the same transactions</t>
  </si>
  <si>
    <t xml:space="preserve">Fully operational (form-based UI)</t>
  </si>
  <si>
    <t xml:space="preserve">Manager self-service</t>
  </si>
  <si>
    <t xml:space="preserve">Complete MSS: approvals, team data, transactions, reporting</t>
  </si>
  <si>
    <t xml:space="preserve">Manager briefing and approval context</t>
  </si>
  <si>
    <t xml:space="preserve">Mobile, kiosk &amp; offline clients</t>
  </si>
  <si>
    <t xml:space="preserve">Native mobile, shared kiosk, offline-capable with buffered sync</t>
  </si>
  <si>
    <t xml:space="preserve">Voice interface for frontline workers</t>
  </si>
  <si>
    <t xml:space="preserve">Fully operational (offline is L4-critical)</t>
  </si>
  <si>
    <t xml:space="preserve">Bulk operations &amp; mass change</t>
  </si>
  <si>
    <t xml:space="preserve">Validated bulk upload with dry-run and rollback</t>
  </si>
  <si>
    <t xml:space="preserve">Validates and explains bulk file errors</t>
  </si>
  <si>
    <t xml:space="preserve">Migration &amp; import tooling</t>
  </si>
  <si>
    <t xml:space="preserve">Accelerators for named incumbent systems with reconciliation</t>
  </si>
  <si>
    <t xml:space="preserve">Maps unfamiliar source schemas to our model</t>
  </si>
  <si>
    <t xml:space="preserve">Fully operational (manual mapping)</t>
  </si>
  <si>
    <t xml:space="preserve">3. Talent Acquisition</t>
  </si>
  <si>
    <t xml:space="preserve">Manpower planning &amp; requisition</t>
  </si>
  <si>
    <t xml:space="preserve">Budgeted headcount, requisition creation, approval chain</t>
  </si>
  <si>
    <t xml:space="preserve">Proposes requisitions from attrition and plan gaps</t>
  </si>
  <si>
    <t xml:space="preserve">H2</t>
  </si>
  <si>
    <t xml:space="preserve">Job posting &amp; distribution</t>
  </si>
  <si>
    <t xml:space="preserve">Multi-board publishing with deterministic scheduling</t>
  </si>
  <si>
    <t xml:space="preserve">Drafts postings; recommends channels</t>
  </si>
  <si>
    <t xml:space="preserve">Branded career site</t>
  </si>
  <si>
    <t xml:space="preserve">Configurable, multi-entity, multi-language career portal</t>
  </si>
  <si>
    <t xml:space="preserve">Answers candidate questions</t>
  </si>
  <si>
    <t xml:space="preserve">Referral programme</t>
  </si>
  <si>
    <t xml:space="preserve">Referral tracking, eligibility and bonus payout to payroll</t>
  </si>
  <si>
    <t xml:space="preserve">Suggests referral targets to employees</t>
  </si>
  <si>
    <t xml:space="preserve">Candidate CRM &amp; sourcing</t>
  </si>
  <si>
    <t xml:space="preserve">Talent pools, campaigns, consent management</t>
  </si>
  <si>
    <t xml:space="preserve">Sources and enriches candidate profiles</t>
  </si>
  <si>
    <t xml:space="preserve">Fully operational (manual sourcing)</t>
  </si>
  <si>
    <t xml:space="preserve">Applicant tracking pipeline</t>
  </si>
  <si>
    <t xml:space="preserve">Configurable stages, SLAs, collaboration, audit trail</t>
  </si>
  <si>
    <t xml:space="preserve">Moves candidates only on explicit human decision</t>
  </si>
  <si>
    <t xml:space="preserve">Interview scheduling</t>
  </si>
  <si>
    <t xml:space="preserve">Panel availability, room/video booking, rescheduling</t>
  </si>
  <si>
    <t xml:space="preserve">Autonomously schedules within defined constraints</t>
  </si>
  <si>
    <t xml:space="preserve">Fully operational (manual scheduling)</t>
  </si>
  <si>
    <t xml:space="preserve">Structured scorecards</t>
  </si>
  <si>
    <t xml:space="preserve">Criteria-based evaluation with required rationale</t>
  </si>
  <si>
    <t xml:space="preserve">Summarises scorecards; never scores</t>
  </si>
  <si>
    <t xml:space="preserve">Candidate screening</t>
  </si>
  <si>
    <t xml:space="preserve">Deterministic criteria filters, fully explainable, bias-tested</t>
  </si>
  <si>
    <t xml:space="preserve">Ranks against explicit stated criteria only, with reasons</t>
  </si>
  <si>
    <t xml:space="preserve">L1 (hard cap)</t>
  </si>
  <si>
    <t xml:space="preserve">Fully operational (deterministic filters)</t>
  </si>
  <si>
    <t xml:space="preserve">Assessments &amp; testing</t>
  </si>
  <si>
    <t xml:space="preserve">Integration with assessment providers; results in ledger</t>
  </si>
  <si>
    <t xml:space="preserve">Offer management</t>
  </si>
  <si>
    <t xml:space="preserve">Offer modelling, versioning, approval chain, e-signature</t>
  </si>
  <si>
    <t xml:space="preserve">Models offer scenarios against comp bands</t>
  </si>
  <si>
    <t xml:space="preserve">Background verification</t>
  </si>
  <si>
    <t xml:space="preserve">Vendor orchestration, status tracking, adjudication workflow</t>
  </si>
  <si>
    <t xml:space="preserve">Chases pending checks</t>
  </si>
  <si>
    <t xml:space="preserve">Pre-boarding portal</t>
  </si>
  <si>
    <t xml:space="preserve">Document collection, forms, statutory registrations before day one</t>
  </si>
  <si>
    <t xml:space="preserve">Guides candidates through completion</t>
  </si>
  <si>
    <t xml:space="preserve">Recruitment analytics</t>
  </si>
  <si>
    <t xml:space="preserve">Funnel, source, time-to-fill, cost-per-hire, adverse-impact reporting</t>
  </si>
  <si>
    <t xml:space="preserve">Natural-language funnel querying</t>
  </si>
  <si>
    <t xml:space="preserve">Agency &amp; vendor management</t>
  </si>
  <si>
    <t xml:space="preserve">Agency portal, submission tracking, fee management</t>
  </si>
  <si>
    <t xml:space="preserve">4. Onboarding &amp; Movement</t>
  </si>
  <si>
    <t xml:space="preserve">Onboarding orchestration</t>
  </si>
  <si>
    <t xml:space="preserve">Checklist templates, task assignment, deterministic escalation</t>
  </si>
  <si>
    <t xml:space="preserve">Chases blockers; answers new-joiner questions</t>
  </si>
  <si>
    <t xml:space="preserve">Provisioning integration</t>
  </si>
  <si>
    <t xml:space="preserve">IT, asset and access provisioning via integration hub</t>
  </si>
  <si>
    <t xml:space="preserve">Reconciles provisioning gaps</t>
  </si>
  <si>
    <t xml:space="preserve">Digital forms &amp; e-signature</t>
  </si>
  <si>
    <t xml:space="preserve">Form builder, signature workflow, statutory form library</t>
  </si>
  <si>
    <t xml:space="preserve">Pre-fills forms from ledger data</t>
  </si>
  <si>
    <t xml:space="preserve">Probation management</t>
  </si>
  <si>
    <t xml:space="preserve">Probation periods, review checkpoints, confirmation or extension</t>
  </si>
  <si>
    <t xml:space="preserve">Reminds and drafts review packs</t>
  </si>
  <si>
    <t xml:space="preserve">Transfers, promotions, demotions</t>
  </si>
  <si>
    <t xml:space="preserve">Effective-dated movement with full downstream recalculation</t>
  </si>
  <si>
    <t xml:space="preserve">Models cost and policy impact before submission</t>
  </si>
  <si>
    <t xml:space="preserve">Cross-entity movement &amp; secondment</t>
  </si>
  <si>
    <t xml:space="preserve">Dual employment, split payroll, inter-entity recharge</t>
  </si>
  <si>
    <t xml:space="preserve">Explains the correct treatment; drafts the transaction</t>
  </si>
  <si>
    <t xml:space="preserve">Reorganisation tooling</t>
  </si>
  <si>
    <t xml:space="preserve">Mass change with dry-run, simulation and rollback</t>
  </si>
  <si>
    <t xml:space="preserve">Simulates scenarios via the deterministic engine</t>
  </si>
  <si>
    <t xml:space="preserve">Resignation &amp; notice</t>
  </si>
  <si>
    <t xml:space="preserve">Notice calculation per jurisdiction, garden leave, waiver</t>
  </si>
  <si>
    <t xml:space="preserve">Drafts acceptance letters; explains entitlements</t>
  </si>
  <si>
    <t xml:space="preserve">Clearance workflow</t>
  </si>
  <si>
    <t xml:space="preserve">Multi-department clearance with blocking dependencies</t>
  </si>
  <si>
    <t xml:space="preserve">Chases outstanding clearances</t>
  </si>
  <si>
    <t xml:space="preserve">Exit interviews</t>
  </si>
  <si>
    <t xml:space="preserve">Structured exit survey with themed reporting</t>
  </si>
  <si>
    <t xml:space="preserve">Summarises themes across exits</t>
  </si>
  <si>
    <t xml:space="preserve">Final settlement</t>
  </si>
  <si>
    <t xml:space="preserve">Deterministic F&amp;F: dues, recoveries, leave encashment, statutory</t>
  </si>
  <si>
    <t xml:space="preserve">Explains the settlement line by line to the leaver</t>
  </si>
  <si>
    <t xml:space="preserve">Rehire eligibility</t>
  </si>
  <si>
    <t xml:space="preserve">Eligibility flags with reason codes and access control</t>
  </si>
  <si>
    <t xml:space="preserve">Alumni management</t>
  </si>
  <si>
    <t xml:space="preserve">Alumni records, boomerang tracking, consent management</t>
  </si>
  <si>
    <t xml:space="preserve">Alumni re-engagement outreach drafting</t>
  </si>
  <si>
    <t xml:space="preserve">H3</t>
  </si>
  <si>
    <t xml:space="preserve">5. Time &amp; Attendance</t>
  </si>
  <si>
    <t xml:space="preserve">Time capture</t>
  </si>
  <si>
    <t xml:space="preserve">Biometric, RFID, geofenced mobile, kiosk, web — all with offline buffer</t>
  </si>
  <si>
    <t xml:space="preserve">Flags anomalous punch patterns</t>
  </si>
  <si>
    <t xml:space="preserve">Fully operational (offline buffer is L4-critical)</t>
  </si>
  <si>
    <t xml:space="preserve">Device management &amp; connectors</t>
  </si>
  <si>
    <t xml:space="preserve">Device registry, health monitoring, connector library</t>
  </si>
  <si>
    <t xml:space="preserve">Predicts device failure from telemetry</t>
  </si>
  <si>
    <t xml:space="preserve">Timesheets</t>
  </si>
  <si>
    <t xml:space="preserve">Daily, weekly and project timesheets with approval chains</t>
  </si>
  <si>
    <t xml:space="preserve">Pre-fills from schedule and punches</t>
  </si>
  <si>
    <t xml:space="preserve">Shift patterns &amp; rotations</t>
  </si>
  <si>
    <t xml:space="preserve">Pattern library, rotation templates, effective dating</t>
  </si>
  <si>
    <t xml:space="preserve">Proposes patterns from demand history</t>
  </si>
  <si>
    <t xml:space="preserve">Rostering &amp; scheduling</t>
  </si>
  <si>
    <t xml:space="preserve">Deterministic constraint solver: skills, availability, cost, statutory limits</t>
  </si>
  <si>
    <t xml:space="preserve">Proposes rosters; the deterministic solver validates</t>
  </si>
  <si>
    <t xml:space="preserve">Fully operational (solver runs without AI)</t>
  </si>
  <si>
    <t xml:space="preserve">Shift bidding &amp; swapping</t>
  </si>
  <si>
    <t xml:space="preserve">Open-shift marketplace with rule-based eligibility</t>
  </si>
  <si>
    <t xml:space="preserve">Matches swap requests within constraints</t>
  </si>
  <si>
    <t xml:space="preserve">Overtime rules &amp; authorisation</t>
  </si>
  <si>
    <t xml:space="preserve">Jurisdiction-specific OT calculation and pre-authorisation</t>
  </si>
  <si>
    <t xml:space="preserve">Forecasts OT breach; alerts managers</t>
  </si>
  <si>
    <t xml:space="preserve">Break &amp; meal compliance</t>
  </si>
  <si>
    <t xml:space="preserve">Statutory break enforcement with violation logging</t>
  </si>
  <si>
    <t xml:space="preserve">None (deterministic by design)</t>
  </si>
  <si>
    <t xml:space="preserve">Attendance regularisation</t>
  </si>
  <si>
    <t xml:space="preserve">Correction requests with approval and full audit trail</t>
  </si>
  <si>
    <t xml:space="preserve">Drafts regularisations from exception patterns</t>
  </si>
  <si>
    <t xml:space="preserve">Working-time limits</t>
  </si>
  <si>
    <t xml:space="preserve">WTD and local statutory limit enforcement, hard-blocking</t>
  </si>
  <si>
    <t xml:space="preserve">Project &amp; activity time</t>
  </si>
  <si>
    <t xml:space="preserve">Cost-object time allocation feeding GL and billing</t>
  </si>
  <si>
    <t xml:space="preserve">Suggests allocation from calendar and activity</t>
  </si>
  <si>
    <t xml:space="preserve">Labour cost accrual</t>
  </si>
  <si>
    <t xml:space="preserve">Real-time accrued labour cost by dimension</t>
  </si>
  <si>
    <t xml:space="preserve">Explains variance against budget</t>
  </si>
  <si>
    <t xml:space="preserve">6. Leave &amp; Absence</t>
  </si>
  <si>
    <t xml:space="preserve">Leave type &amp; policy config</t>
  </si>
  <si>
    <t xml:space="preserve">Policy-as-code leave definitions, versioned and tested</t>
  </si>
  <si>
    <t xml:space="preserve">Drafts policy from a written handbook; compiler validates</t>
  </si>
  <si>
    <t xml:space="preserve">Accrual engine</t>
  </si>
  <si>
    <t xml:space="preserve">Proration, tenure bands, carry-forward, expiry, encashment — deterministic</t>
  </si>
  <si>
    <t xml:space="preserve">Explains an employee's balance derivation</t>
  </si>
  <si>
    <t xml:space="preserve">Fully operational (core calculation)</t>
  </si>
  <si>
    <t xml:space="preserve">Statutory leave packs</t>
  </si>
  <si>
    <t xml:space="preserve">Per-jurisdiction statutory leave as versioned signed artifacts</t>
  </si>
  <si>
    <t xml:space="preserve">Monitors legislative change; drafts pack updates</t>
  </si>
  <si>
    <t xml:space="preserve">Request &amp; approval workflow</t>
  </si>
  <si>
    <t xml:space="preserve">Multi-level approval with delegation and escalation</t>
  </si>
  <si>
    <t xml:space="preserve">Auto-approves within pre-set manager rules</t>
  </si>
  <si>
    <t xml:space="preserve">Leave calendar &amp; visibility</t>
  </si>
  <si>
    <t xml:space="preserve">Team, branch and entity calendars with privacy controls</t>
  </si>
  <si>
    <t xml:space="preserve">Answers who-is-out questions</t>
  </si>
  <si>
    <t xml:space="preserve">Blackout &amp; minimum staffing</t>
  </si>
  <si>
    <t xml:space="preserve">Rule-based blocking against coverage requirements</t>
  </si>
  <si>
    <t xml:space="preserve">Suggests alternative dates</t>
  </si>
  <si>
    <t xml:space="preserve">Long-term leave of absence</t>
  </si>
  <si>
    <t xml:space="preserve">LOA types, benefit continuation, return tracking</t>
  </si>
  <si>
    <t xml:space="preserve">Guides employees through LOA processes</t>
  </si>
  <si>
    <t xml:space="preserve">Parental &amp; medical programmes</t>
  </si>
  <si>
    <t xml:space="preserve">Jurisdiction-specific entitlement and pay treatment</t>
  </si>
  <si>
    <t xml:space="preserve">Explains entitlement to the employee</t>
  </si>
  <si>
    <t xml:space="preserve">Medical certificate management</t>
  </si>
  <si>
    <t xml:space="preserve">Upload, verification workflow, restricted access</t>
  </si>
  <si>
    <t xml:space="preserve">Extracts dates and restrictions into draft</t>
  </si>
  <si>
    <t xml:space="preserve">Return-to-work workflow</t>
  </si>
  <si>
    <t xml:space="preserve">Structured RTW with accommodation tracking</t>
  </si>
  <si>
    <t xml:space="preserve">Drafts RTW plans for approval</t>
  </si>
  <si>
    <t xml:space="preserve">Absence pattern reporting</t>
  </si>
  <si>
    <t xml:space="preserve">Bradford-style and custom absence analytics</t>
  </si>
  <si>
    <t xml:space="preserve">Surfaces patterns; never recommends action on individuals</t>
  </si>
  <si>
    <t xml:space="preserve">Leave liability valuation</t>
  </si>
  <si>
    <t xml:space="preserve">Deterministic provision calculation and GL posting</t>
  </si>
  <si>
    <t xml:space="preserve">Explains movement in provision</t>
  </si>
  <si>
    <t xml:space="preserve">7. Payroll</t>
  </si>
  <si>
    <t xml:space="preserve">Multi-country payroll engine</t>
  </si>
  <si>
    <t xml:space="preserve">Deterministic gross-to-net, multi-entity, multi-currency</t>
  </si>
  <si>
    <t xml:space="preserve">NONE — no model ever computes pay</t>
  </si>
  <si>
    <t xml:space="preserve">Fully operational (this is the keel)</t>
  </si>
  <si>
    <t xml:space="preserve">Pay element library</t>
  </si>
  <si>
    <t xml:space="preserve">Configurable earnings, deductions, benefits-in-kind, versioned</t>
  </si>
  <si>
    <t xml:space="preserve">Drafts new elements; compiler validates</t>
  </si>
  <si>
    <t xml:space="preserve">Tax engine &amp; rule packs</t>
  </si>
  <si>
    <t xml:space="preserve">Jurisdiction tax rules as signed, versioned, golden-tested artifacts</t>
  </si>
  <si>
    <t xml:space="preserve">Monitors rate changes; drafts pack updates for review</t>
  </si>
  <si>
    <t xml:space="preserve">Statutory contributions</t>
  </si>
  <si>
    <t xml:space="preserve">Social security, provident funds, levies per jurisdiction</t>
  </si>
  <si>
    <t xml:space="preserve">NONE — deterministic only</t>
  </si>
  <si>
    <t xml:space="preserve">Retroactive processing</t>
  </si>
  <si>
    <t xml:space="preserve">Derived from the bitemporal ledger, never patched</t>
  </si>
  <si>
    <t xml:space="preserve">Explains retro deltas line by line</t>
  </si>
  <si>
    <t xml:space="preserve">Fully operational (core capability)</t>
  </si>
  <si>
    <t xml:space="preserve">Off-cycle &amp; supplementary runs</t>
  </si>
  <si>
    <t xml:space="preserve">Ad-hoc runs with full control and approval</t>
  </si>
  <si>
    <t xml:space="preserve">Drafts the run scope from a request</t>
  </si>
  <si>
    <t xml:space="preserve">Arrears management</t>
  </si>
  <si>
    <t xml:space="preserve">Arrears tracking, scheduling and recovery</t>
  </si>
  <si>
    <t xml:space="preserve">Garnishments &amp; court orders</t>
  </si>
  <si>
    <t xml:space="preserve">Order registry, priority rules, deterministic calculation</t>
  </si>
  <si>
    <t xml:space="preserve">Extracts order terms into a draft for legal review</t>
  </si>
  <si>
    <t xml:space="preserve">Loans, advances &amp; deductions</t>
  </si>
  <si>
    <t xml:space="preserve">Loan schedules, interest treatment, payroll recovery</t>
  </si>
  <si>
    <t xml:space="preserve">Explains schedules to employees</t>
  </si>
  <si>
    <t xml:space="preserve">Payroll preflight &amp; anomaly detection</t>
  </si>
  <si>
    <t xml:space="preserve">Deterministic variance rules against prior cycles</t>
  </si>
  <si>
    <t xml:space="preserve">Payroll Preflight Agent: exception pack for the payroll team</t>
  </si>
  <si>
    <t xml:space="preserve">Fully operational (rule-based variance checks)</t>
  </si>
  <si>
    <t xml:space="preserve">Payslip generation &amp; delivery</t>
  </si>
  <si>
    <t xml:space="preserve">Multi-language, multi-format, mobile and print</t>
  </si>
  <si>
    <t xml:space="preserve">Explains a payslip line by line, in the employee's language</t>
  </si>
  <si>
    <t xml:space="preserve">Bank file &amp; payment instruction</t>
  </si>
  <si>
    <t xml:space="preserve">Per-country bank formats, validation, dual-control release</t>
  </si>
  <si>
    <t xml:space="preserve">None — payment initiation is never agent-authorised</t>
  </si>
  <si>
    <t xml:space="preserve">Fully operational (L4-critical)</t>
  </si>
  <si>
    <t xml:space="preserve">Payment reconciliation</t>
  </si>
  <si>
    <t xml:space="preserve">Bank return handling, failed payment workflow</t>
  </si>
  <si>
    <t xml:space="preserve">Triages failures; drafts corrections</t>
  </si>
  <si>
    <t xml:space="preserve">GL posting &amp; cost allocation</t>
  </si>
  <si>
    <t xml:space="preserve">Multi-dimensional posting with ERP connectors</t>
  </si>
  <si>
    <t xml:space="preserve">Explains posting differences</t>
  </si>
  <si>
    <t xml:space="preserve">Payroll register &amp; controls</t>
  </si>
  <si>
    <t xml:space="preserve">Full register, control totals, sign-off pack</t>
  </si>
  <si>
    <t xml:space="preserve">Summarises the register for the approver</t>
  </si>
  <si>
    <t xml:space="preserve">Parallel-run comparison engine</t>
  </si>
  <si>
    <t xml:space="preserve">Cent-level variance against a legacy system, traced to rule and version</t>
  </si>
  <si>
    <t xml:space="preserve">Explains each variance and its likely root cause</t>
  </si>
  <si>
    <t xml:space="preserve">Fully operational (this is a sales weapon)</t>
  </si>
  <si>
    <t xml:space="preserve">Year-end &amp; statutory filings</t>
  </si>
  <si>
    <t xml:space="preserve">Per-jurisdiction year-end packs and e-filing</t>
  </si>
  <si>
    <t xml:space="preserve">Drafts filings; chases missing data</t>
  </si>
  <si>
    <t xml:space="preserve">Payroll approval &amp; sign-off</t>
  </si>
  <si>
    <t xml:space="preserve">Dual control, segregation of duties, immutable sign-off record</t>
  </si>
  <si>
    <t xml:space="preserve">Assembles the approval pack with context</t>
  </si>
  <si>
    <t xml:space="preserve">8. Benefits</t>
  </si>
  <si>
    <t xml:space="preserve">Benefit plan design</t>
  </si>
  <si>
    <t xml:space="preserve">Plan configuration, tiers, employer/employee split</t>
  </si>
  <si>
    <t xml:space="preserve">Drafts plans from carrier documentation</t>
  </si>
  <si>
    <t xml:space="preserve">Eligibility rule engine</t>
  </si>
  <si>
    <t xml:space="preserve">Policy-as-code eligibility, deterministic</t>
  </si>
  <si>
    <t xml:space="preserve">Explains eligibility decisions</t>
  </si>
  <si>
    <t xml:space="preserve">Open enrolment</t>
  </si>
  <si>
    <t xml:space="preserve">Enrolment windows, defaults, confirmation statements</t>
  </si>
  <si>
    <t xml:space="preserve">Guides employees; models options against their situation</t>
  </si>
  <si>
    <t xml:space="preserve">Life-event processing</t>
  </si>
  <si>
    <t xml:space="preserve">Qualifying events with evidence and deadline enforcement</t>
  </si>
  <si>
    <t xml:space="preserve">Detects likely events from record changes; prompts</t>
  </si>
  <si>
    <t xml:space="preserve">Dependent management</t>
  </si>
  <si>
    <t xml:space="preserve">Dependent records, verification, coverage tiering</t>
  </si>
  <si>
    <t xml:space="preserve">Validates documentation</t>
  </si>
  <si>
    <t xml:space="preserve">Carrier &amp; provider feeds</t>
  </si>
  <si>
    <t xml:space="preserve">Scheduled deterministic feeds with reconciliation</t>
  </si>
  <si>
    <t xml:space="preserve">Triages feed rejections</t>
  </si>
  <si>
    <t xml:space="preserve">Flexible benefits &amp; allowances</t>
  </si>
  <si>
    <t xml:space="preserve">Flex baskets, allowance ceilings, tax treatment</t>
  </si>
  <si>
    <t xml:space="preserve">Optimises selection against the employee's stated goal</t>
  </si>
  <si>
    <t xml:space="preserve">Retirement &amp; provident funds</t>
  </si>
  <si>
    <t xml:space="preserve">Contribution calculation, remittance, statement generation</t>
  </si>
  <si>
    <t xml:space="preserve">Explains projections</t>
  </si>
  <si>
    <t xml:space="preserve">Claims &amp; reimbursement</t>
  </si>
  <si>
    <t xml:space="preserve">Claim submission, policy validation, payroll integration</t>
  </si>
  <si>
    <t xml:space="preserve">Validates claims against policy; flags exceptions</t>
  </si>
  <si>
    <t xml:space="preserve">Benefit cost reporting</t>
  </si>
  <si>
    <t xml:space="preserve">Employer cost, utilisation and forecast reporting</t>
  </si>
  <si>
    <t xml:space="preserve">Natural-language cost querying</t>
  </si>
  <si>
    <t xml:space="preserve">9. Compensation</t>
  </si>
  <si>
    <t xml:space="preserve">Pay structures &amp; ranges</t>
  </si>
  <si>
    <t xml:space="preserve">Grades, ranges, penetration, effective-dated</t>
  </si>
  <si>
    <t xml:space="preserve">Proposes structure updates from benchmark data</t>
  </si>
  <si>
    <t xml:space="preserve">Market benchmarking</t>
  </si>
  <si>
    <t xml:space="preserve">Survey data integration and job matching</t>
  </si>
  <si>
    <t xml:space="preserve">Suggests job matches to survey codes</t>
  </si>
  <si>
    <t xml:space="preserve">Fully operational (manual matching)</t>
  </si>
  <si>
    <t xml:space="preserve">Merit &amp; increment cycles</t>
  </si>
  <si>
    <t xml:space="preserve">Budget cascade, manager worksheets, guardrails, approval chain</t>
  </si>
  <si>
    <t xml:space="preserve">Flags out-of-guardrail proposals; models budget impact</t>
  </si>
  <si>
    <t xml:space="preserve">Bonus &amp; incentive plans</t>
  </si>
  <si>
    <t xml:space="preserve">Plan definition, accrual, deterministic payout calculation</t>
  </si>
  <si>
    <t xml:space="preserve">Explains payout derivation</t>
  </si>
  <si>
    <t xml:space="preserve">Sales commission engine</t>
  </si>
  <si>
    <t xml:space="preserve">Quota, attainment, tiers, clawback, dispute workflow</t>
  </si>
  <si>
    <t xml:space="preserve">Explains commission statements; triages disputes</t>
  </si>
  <si>
    <t xml:space="preserve">Long-term incentive &amp; equity</t>
  </si>
  <si>
    <t xml:space="preserve">Grant, vest, exercise tracking with payroll integration</t>
  </si>
  <si>
    <t xml:space="preserve">Explains equity to employees</t>
  </si>
  <si>
    <t xml:space="preserve">Pay equity analysis</t>
  </si>
  <si>
    <t xml:space="preserve">Deterministic statistical analysis with cohort definition</t>
  </si>
  <si>
    <t xml:space="preserve">Explains drivers; never recommends individual adjustments</t>
  </si>
  <si>
    <t xml:space="preserve">Pay transparency reporting</t>
  </si>
  <si>
    <t xml:space="preserve">EU Pay Transparency Directive-ready reporting packs</t>
  </si>
  <si>
    <t xml:space="preserve">Drafts narrative disclosures for legal review</t>
  </si>
  <si>
    <t xml:space="preserve">Total rewards statements</t>
  </si>
  <si>
    <t xml:space="preserve">Personalised multi-component statements</t>
  </si>
  <si>
    <t xml:space="preserve">Generates personalised narrative</t>
  </si>
  <si>
    <t xml:space="preserve">Fully operational (template-based)</t>
  </si>
  <si>
    <t xml:space="preserve">10. Performance</t>
  </si>
  <si>
    <t xml:space="preserve">Goals &amp; OKRs</t>
  </si>
  <si>
    <t xml:space="preserve">Cascade, alignment, progress tracking</t>
  </si>
  <si>
    <t xml:space="preserve">Drafts goals from role and strategy context</t>
  </si>
  <si>
    <t xml:space="preserve">Continuous feedback &amp; check-ins</t>
  </si>
  <si>
    <t xml:space="preserve">Structured feedback capture with visibility controls</t>
  </si>
  <si>
    <t xml:space="preserve">Prompts timely feedback; never authors evaluations</t>
  </si>
  <si>
    <t xml:space="preserve">Review cycle management</t>
  </si>
  <si>
    <t xml:space="preserve">Annual, quarterly, project and probation cycles</t>
  </si>
  <si>
    <t xml:space="preserve">Chases completion; assembles evidence packs</t>
  </si>
  <si>
    <t xml:space="preserve">360 / multi-rater</t>
  </si>
  <si>
    <t xml:space="preserve">Rater selection, anonymity rules, aggregation</t>
  </si>
  <si>
    <t xml:space="preserve">Summarises themes; never scores</t>
  </si>
  <si>
    <t xml:space="preserve">Calibration</t>
  </si>
  <si>
    <t xml:space="preserve">Session tooling, distribution management, decision logging</t>
  </si>
  <si>
    <t xml:space="preserve">Surfaces inconsistencies for human discussion</t>
  </si>
  <si>
    <t xml:space="preserve">L2 (hard cap)</t>
  </si>
  <si>
    <t xml:space="preserve">Rating &amp; competency models</t>
  </si>
  <si>
    <t xml:space="preserve">Configurable scales, competency frameworks, behavioural anchors</t>
  </si>
  <si>
    <t xml:space="preserve">Performance improvement plans</t>
  </si>
  <si>
    <t xml:space="preserve">PIP workflow with milestone tracking and evidence</t>
  </si>
  <si>
    <t xml:space="preserve">Drafts structure only; content authored by the manager</t>
  </si>
  <si>
    <t xml:space="preserve">Recognition</t>
  </si>
  <si>
    <t xml:space="preserve">Peer and manager recognition with optional reward value</t>
  </si>
  <si>
    <t xml:space="preserve">Suggests recognition moments</t>
  </si>
  <si>
    <t xml:space="preserve">Performance analytics</t>
  </si>
  <si>
    <t xml:space="preserve">Distribution, consistency, adverse-impact analysis</t>
  </si>
  <si>
    <t xml:space="preserve">Natural-language querying</t>
  </si>
  <si>
    <t xml:space="preserve">11. Learning &amp; Succession</t>
  </si>
  <si>
    <t xml:space="preserve">Learning management</t>
  </si>
  <si>
    <t xml:space="preserve">Courses, paths, blended, ILT/VILT, completion tracking</t>
  </si>
  <si>
    <t xml:space="preserve">Recommends learning against skill gaps</t>
  </si>
  <si>
    <t xml:space="preserve">Content authoring &amp; libraries</t>
  </si>
  <si>
    <t xml:space="preserve">Authoring tools and third-party library integration</t>
  </si>
  <si>
    <t xml:space="preserve">Generates draft course content for SME review</t>
  </si>
  <si>
    <t xml:space="preserve">Compliance &amp; mandatory training</t>
  </si>
  <si>
    <t xml:space="preserve">Assignment, deadline enforcement, attestation, evidence</t>
  </si>
  <si>
    <t xml:space="preserve">Chases non-completion</t>
  </si>
  <si>
    <t xml:space="preserve">Fully operational (deterministic assignment)</t>
  </si>
  <si>
    <t xml:space="preserve">Certification &amp; licence tracking</t>
  </si>
  <si>
    <t xml:space="preserve">Monitors external registries</t>
  </si>
  <si>
    <t xml:space="preserve">Skills ontology management</t>
  </si>
  <si>
    <t xml:space="preserve">Curated, versioned skills taxonomy per customer</t>
  </si>
  <si>
    <t xml:space="preserve">Proposes taxonomy extensions</t>
  </si>
  <si>
    <t xml:space="preserve">Fully operational (manual curation)</t>
  </si>
  <si>
    <t xml:space="preserve">Skills inference &amp; validation</t>
  </si>
  <si>
    <t xml:space="preserve">Human-validated skill assertions with evidence</t>
  </si>
  <si>
    <t xml:space="preserve">Infers candidate skills; always human-validated</t>
  </si>
  <si>
    <t xml:space="preserve">Degraded: manual skill entry only, all else operational</t>
  </si>
  <si>
    <t xml:space="preserve">Career pathing</t>
  </si>
  <si>
    <t xml:space="preserve">Defined paths with requirement mapping</t>
  </si>
  <si>
    <t xml:space="preserve">Personalises path recommendations</t>
  </si>
  <si>
    <t xml:space="preserve">Fully operational (defined paths)</t>
  </si>
  <si>
    <t xml:space="preserve">Individual development plans</t>
  </si>
  <si>
    <t xml:space="preserve">IDP creation, approval, progress tracking</t>
  </si>
  <si>
    <t xml:space="preserve">Drafts IDPs from gaps and goals</t>
  </si>
  <si>
    <t xml:space="preserve">Mentoring &amp; coaching</t>
  </si>
  <si>
    <t xml:space="preserve">Programme management and pairing</t>
  </si>
  <si>
    <t xml:space="preserve">Suggests pairings</t>
  </si>
  <si>
    <t xml:space="preserve">Fully operational (manual pairing)</t>
  </si>
  <si>
    <t xml:space="preserve">Internal talent marketplace</t>
  </si>
  <si>
    <t xml:space="preserve">Gigs, projects, internal mobility with manager controls</t>
  </si>
  <si>
    <t xml:space="preserve">Matches people to opportunities</t>
  </si>
  <si>
    <t xml:space="preserve">Fully operational (browse and apply)</t>
  </si>
  <si>
    <t xml:space="preserve">Succession planning</t>
  </si>
  <si>
    <t xml:space="preserve">Talent pools, readiness, risk-of-loss, bench strength</t>
  </si>
  <si>
    <t xml:space="preserve">Proposes successor slates for human review</t>
  </si>
  <si>
    <t xml:space="preserve">9-box &amp; talent review</t>
  </si>
  <si>
    <t xml:space="preserve">Session tooling with decision logging</t>
  </si>
  <si>
    <t xml:space="preserve">Surfaces data for discussion; never places people</t>
  </si>
  <si>
    <t xml:space="preserve">Learning analytics &amp; ROI</t>
  </si>
  <si>
    <t xml:space="preserve">Completion, effectiveness, cost and impact reporting</t>
  </si>
  <si>
    <t xml:space="preserve">12. ER, Compliance &amp; Safety</t>
  </si>
  <si>
    <t xml:space="preserve">Case management &amp; ticketing</t>
  </si>
  <si>
    <t xml:space="preserve">Full HR case system with SLAs, routing and confidentiality</t>
  </si>
  <si>
    <t xml:space="preserve">Case Triage Agent: classifies, routes, drafts responses</t>
  </si>
  <si>
    <t xml:space="preserve">Fully operational (manual routing rules)</t>
  </si>
  <si>
    <t xml:space="preserve">Grievance handling</t>
  </si>
  <si>
    <t xml:space="preserve">Structured grievance process with stage tracking</t>
  </si>
  <si>
    <t xml:space="preserve">Drafts acknowledgements only</t>
  </si>
  <si>
    <t xml:space="preserve">Disciplinary management</t>
  </si>
  <si>
    <t xml:space="preserve">Process templates, evidence, outcome recording, appeals</t>
  </si>
  <si>
    <t xml:space="preserve">Drafts procedural documents only; never recommends outcomes</t>
  </si>
  <si>
    <t xml:space="preserve">Investigation workspace</t>
  </si>
  <si>
    <t xml:space="preserve">Restricted-access workspace with chain of custody</t>
  </si>
  <si>
    <t xml:space="preserve">NONE — no agent access to investigation content</t>
  </si>
  <si>
    <t xml:space="preserve">Whistleblower channel</t>
  </si>
  <si>
    <t xml:space="preserve">Anonymous, jurisdiction-compliant reporting channel</t>
  </si>
  <si>
    <t xml:space="preserve">NONE — no agent access</t>
  </si>
  <si>
    <t xml:space="preserve">Policy library &amp; acknowledgment</t>
  </si>
  <si>
    <t xml:space="preserve">Versioned policies, targeted distribution, attestation tracking</t>
  </si>
  <si>
    <t xml:space="preserve">Answers policy questions with clause citation</t>
  </si>
  <si>
    <t xml:space="preserve">Health &amp; safety incidents</t>
  </si>
  <si>
    <t xml:space="preserve">Incident reporting, investigation, corrective actions</t>
  </si>
  <si>
    <t xml:space="preserve">Classifies incidents; drafts reports</t>
  </si>
  <si>
    <t xml:space="preserve">Occupational injury logs</t>
  </si>
  <si>
    <t xml:space="preserve">Statutory injury and illness logs per jurisdiction</t>
  </si>
  <si>
    <t xml:space="preserve">Drafts statutory forms</t>
  </si>
  <si>
    <t xml:space="preserve">Risk assessments</t>
  </si>
  <si>
    <t xml:space="preserve">Assessment templates, review cycles, action tracking</t>
  </si>
  <si>
    <t xml:space="preserve">Drafts assessments from templates</t>
  </si>
  <si>
    <t xml:space="preserve">Union &amp; CBA management</t>
  </si>
  <si>
    <t xml:space="preserve">Agreement terms as policy-as-code, applied deterministically</t>
  </si>
  <si>
    <t xml:space="preserve">Explains CBA terms; drafts impact analysis</t>
  </si>
  <si>
    <t xml:space="preserve">Works council consultation</t>
  </si>
  <si>
    <t xml:space="preserve">Consultation tracking with evidence — EU AI Act Art. 26(7) ready</t>
  </si>
  <si>
    <t xml:space="preserve">Drafts consultation packs</t>
  </si>
  <si>
    <t xml:space="preserve">Contingent workforce</t>
  </si>
  <si>
    <t xml:space="preserve">Contractor, agency and vendor worker records and compliance</t>
  </si>
  <si>
    <t xml:space="preserve">Flags misclassification risk indicators</t>
  </si>
  <si>
    <t xml:space="preserve">Compliance calendar</t>
  </si>
  <si>
    <t xml:space="preserve">Statutory obligation tracker per entity and jurisdiction</t>
  </si>
  <si>
    <t xml:space="preserve">Monitors regulatory change; proposes calendar updates</t>
  </si>
  <si>
    <t xml:space="preserve">Regulatory reporting library</t>
  </si>
  <si>
    <t xml:space="preserve">Prebuilt statutory reports per jurisdiction</t>
  </si>
  <si>
    <t xml:space="preserve">Explains report contents</t>
  </si>
  <si>
    <t xml:space="preserve">13. HR Service Delivery</t>
  </si>
  <si>
    <t xml:space="preserve">Knowledge base</t>
  </si>
  <si>
    <t xml:space="preserve">Entity- and branch-scoped, versioned knowledge articles</t>
  </si>
  <si>
    <t xml:space="preserve">Employee Answers Agent: answers with clause citation</t>
  </si>
  <si>
    <t xml:space="preserve">Fully operational (search and browse)</t>
  </si>
  <si>
    <t xml:space="preserve">Service catalogue &amp; routing</t>
  </si>
  <si>
    <t xml:space="preserve">Request types, forms, deterministic routing rules</t>
  </si>
  <si>
    <t xml:space="preserve">Suggests the right request type</t>
  </si>
  <si>
    <t xml:space="preserve">SLA management &amp; escalation</t>
  </si>
  <si>
    <t xml:space="preserve">SLA clocks, breach alerts, deterministic escalation ladder</t>
  </si>
  <si>
    <t xml:space="preserve">Predicts breach; prioritises queue</t>
  </si>
  <si>
    <t xml:space="preserve">Document generation &amp; templating</t>
  </si>
  <si>
    <t xml:space="preserve">Template library with ledger merge and approval</t>
  </si>
  <si>
    <t xml:space="preserve">Drafts non-standard documents</t>
  </si>
  <si>
    <t xml:space="preserve">E-signature</t>
  </si>
  <si>
    <t xml:space="preserve">Native and third-party signature with audit trail</t>
  </si>
  <si>
    <t xml:space="preserve">Employee communications</t>
  </si>
  <si>
    <t xml:space="preserve">Targeted announcements by entity, branch, population</t>
  </si>
  <si>
    <t xml:space="preserve">Drafts communications; personalises by audience</t>
  </si>
  <si>
    <t xml:space="preserve">Surveys &amp; engagement</t>
  </si>
  <si>
    <t xml:space="preserve">Survey builder, eNPS, pulse, lifecycle surveys</t>
  </si>
  <si>
    <t xml:space="preserve">Summarises free-text themes</t>
  </si>
  <si>
    <t xml:space="preserve">Experience journeys</t>
  </si>
  <si>
    <t xml:space="preserve">Configurable lifecycle journeys with nudges</t>
  </si>
  <si>
    <t xml:space="preserve">Personalises journey content</t>
  </si>
  <si>
    <t xml:space="preserve">Fully operational (standard journeys)</t>
  </si>
  <si>
    <t xml:space="preserve">Multi-language &amp; accessibility</t>
  </si>
  <si>
    <t xml:space="preserve">Full localisation and WCAG conformance</t>
  </si>
  <si>
    <t xml:space="preserve">On-demand translation of user content</t>
  </si>
  <si>
    <t xml:space="preserve">Fully operational (pre-translated content)</t>
  </si>
  <si>
    <t xml:space="preserve">Helpdesk analytics</t>
  </si>
  <si>
    <t xml:space="preserve">Volume, deflection, resolution, satisfaction reporting</t>
  </si>
  <si>
    <t xml:space="preserve">14. Analytics &amp; Planning</t>
  </si>
  <si>
    <t xml:space="preserve">Operational report library</t>
  </si>
  <si>
    <t xml:space="preserve">200+ prebuilt reports across all domains</t>
  </si>
  <si>
    <t xml:space="preserve">Recommends the right report</t>
  </si>
  <si>
    <t xml:space="preserve">Ad-hoc query builder</t>
  </si>
  <si>
    <t xml:space="preserve">Visual query builder over the bitemporal ledger</t>
  </si>
  <si>
    <t xml:space="preserve">Workforce Analyst Agent: NL to query, query shown to user</t>
  </si>
  <si>
    <t xml:space="preserve">Fully operational (visual builder)</t>
  </si>
  <si>
    <t xml:space="preserve">Role-based dashboards</t>
  </si>
  <si>
    <t xml:space="preserve">Configurable dashboards by role, entity and branch</t>
  </si>
  <si>
    <t xml:space="preserve">Suggests dashboard content</t>
  </si>
  <si>
    <t xml:space="preserve">Headcount planning</t>
  </si>
  <si>
    <t xml:space="preserve">Establishment control, budget vs actual, vacancy pipeline</t>
  </si>
  <si>
    <t xml:space="preserve">Explains variance; proposes reallocation</t>
  </si>
  <si>
    <t xml:space="preserve">Workforce scenario modelling</t>
  </si>
  <si>
    <t xml:space="preserve">Deterministic scenario engine — restructures, pay reviews, growth</t>
  </si>
  <si>
    <t xml:space="preserve">Scenario Agent: sets up scenarios; the engine computes</t>
  </si>
  <si>
    <t xml:space="preserve">Fully operational (manual scenario setup)</t>
  </si>
  <si>
    <t xml:space="preserve">Labour budget &amp; forecast</t>
  </si>
  <si>
    <t xml:space="preserve">Bottom-up labour cost budgeting and rolling forecast</t>
  </si>
  <si>
    <t xml:space="preserve">Explains forecast drivers</t>
  </si>
  <si>
    <t xml:space="preserve">Attrition &amp; retention analytics</t>
  </si>
  <si>
    <t xml:space="preserve">Deterministic cohort analysis; statistical models, documented</t>
  </si>
  <si>
    <t xml:space="preserve">Explains drivers; never scores individuals for action</t>
  </si>
  <si>
    <t xml:space="preserve">DEI reporting</t>
  </si>
  <si>
    <t xml:space="preserve">Representation, pay gap, progression, adverse impact</t>
  </si>
  <si>
    <t xml:space="preserve">Drafts narrative for human review</t>
  </si>
  <si>
    <t xml:space="preserve">ESG &amp; human capital disclosure</t>
  </si>
  <si>
    <t xml:space="preserve">CSRD-style human capital metrics and disclosure packs</t>
  </si>
  <si>
    <t xml:space="preserve">Drafts disclosure narrative</t>
  </si>
  <si>
    <t xml:space="preserve">Statutory report packs</t>
  </si>
  <si>
    <t xml:space="preserve">Prebuilt jurisdiction report packs, versioned with the rule packs</t>
  </si>
  <si>
    <t xml:space="preserve">Benchmarking</t>
  </si>
  <si>
    <t xml:space="preserve">Anonymised cross-customer benchmarks, opt-in</t>
  </si>
  <si>
    <t xml:space="preserve">Contextualises benchmark position</t>
  </si>
  <si>
    <t xml:space="preserve">Warehouse sync &amp; reverse ETL</t>
  </si>
  <si>
    <t xml:space="preserve">Scheduled deterministic sync to customer data platforms</t>
  </si>
  <si>
    <t xml:space="preserve">Point-in-time / as-of reporting</t>
  </si>
  <si>
    <t xml:space="preserve">Native from the bitemporal ledger — any date, any policy version</t>
  </si>
  <si>
    <t xml:space="preserve">Explains what changed between two dates</t>
  </si>
  <si>
    <t xml:space="preserve">15. Platform &amp; Integration</t>
  </si>
  <si>
    <t xml:space="preserve">REST &amp; GraphQL APIs</t>
  </si>
  <si>
    <t xml:space="preserve">Complete public API covering every transaction class</t>
  </si>
  <si>
    <t xml:space="preserve">Event streaming &amp; webhooks</t>
  </si>
  <si>
    <t xml:space="preserve">Ledger event stream with replay and at-least-once delivery</t>
  </si>
  <si>
    <t xml:space="preserve">Integration hub &amp; connectors</t>
  </si>
  <si>
    <t xml:space="preserve">ERP, GL, banking, carriers, job boards, IdP, devices, collaboration</t>
  </si>
  <si>
    <t xml:space="preserve">Maps unfamiliar schemas; drafts connector config</t>
  </si>
  <si>
    <t xml:space="preserve">Fully operational (prebuilt connectors)</t>
  </si>
  <si>
    <t xml:space="preserve">SSO &amp; SCIM provisioning</t>
  </si>
  <si>
    <t xml:space="preserve">SAML/OIDC SSO, SCIM inbound and outbound</t>
  </si>
  <si>
    <t xml:space="preserve">Low-code workflow &amp; form builder</t>
  </si>
  <si>
    <t xml:space="preserve">Visual builder producing deterministic, versioned workflows</t>
  </si>
  <si>
    <t xml:space="preserve">Drafts workflows from a description; compiler validates</t>
  </si>
  <si>
    <t xml:space="preserve">Custom fields &amp; objects</t>
  </si>
  <si>
    <t xml:space="preserve">Tenant-defined extensions with policy and reporting support</t>
  </si>
  <si>
    <t xml:space="preserve">Suggests schema from a described need</t>
  </si>
  <si>
    <t xml:space="preserve">Sandbox &amp; release management</t>
  </si>
  <si>
    <t xml:space="preserve">Sandbox refresh, config promotion, release notes</t>
  </si>
  <si>
    <t xml:space="preserve">Summarises config diffs between environments</t>
  </si>
  <si>
    <t xml:space="preserve">MCP server (customer agents)</t>
  </si>
  <si>
    <t xml:space="preserve">Exposes the ledger to customer-owned agents via the Control Gate</t>
  </si>
  <si>
    <t xml:space="preserve">N/A — this IS the agent surface for external agents</t>
  </si>
  <si>
    <t xml:space="preserve">Disabled at L3 by definition; core unaffected</t>
  </si>
  <si>
    <t xml:space="preserve">Agent registry &amp; marketplace</t>
  </si>
  <si>
    <t xml:space="preserve">Third-party agents governed by our Control Gate</t>
  </si>
  <si>
    <t xml:space="preserve">N/A — governance layer</t>
  </si>
  <si>
    <t xml:space="preserve">Jurisdiction Pack SDK</t>
  </si>
  <si>
    <t xml:space="preserve">Partner toolkit: authoring, golden datasets, signing, versioning</t>
  </si>
  <si>
    <t xml:space="preserve">Drafts pack rules from legislation for expert review</t>
  </si>
  <si>
    <t xml:space="preserve">Partner &amp; ISV programme</t>
  </si>
  <si>
    <t xml:space="preserve">Certification, revenue share, marketplace listing</t>
  </si>
  <si>
    <t xml:space="preserve">16. Agent Plane</t>
  </si>
  <si>
    <t xml:space="preserve">Agent registry &amp; lifecycle</t>
  </si>
  <si>
    <t xml:space="preserve">Register, configure, activate, suspend, retire — like an employee</t>
  </si>
  <si>
    <t xml:space="preserve">Registry readable; all agents suspended</t>
  </si>
  <si>
    <t xml:space="preserve">Agent charters &amp; manifests</t>
  </si>
  <si>
    <t xml:space="preserve">Scope, permitted transaction classes, autonomy ceiling, signed A2A card</t>
  </si>
  <si>
    <t xml:space="preserve">Readable</t>
  </si>
  <si>
    <t xml:space="preserve">Autonomy-level policy</t>
  </si>
  <si>
    <t xml:space="preserve">Per transaction class, per tenant, entity and branch</t>
  </si>
  <si>
    <t xml:space="preserve">Budget &amp; rate governance</t>
  </si>
  <si>
    <t xml:space="preserve">Token, cost and action-rate ceilings with hard cut-off</t>
  </si>
  <si>
    <t xml:space="preserve">Evaluation harness &amp; shadow mode</t>
  </si>
  <si>
    <t xml:space="preserve">Agents scored against human decisions before promotion</t>
  </si>
  <si>
    <t xml:space="preserve">Historical scores readable</t>
  </si>
  <si>
    <t xml:space="preserve">Model routing &amp; fallback</t>
  </si>
  <si>
    <t xml:space="preserve">Model-agnostic routing with automatic degradation to L2 or L3</t>
  </si>
  <si>
    <t xml:space="preserve">N/A — infrastructure</t>
  </si>
  <si>
    <t xml:space="preserve">This component triggers L3 entry</t>
  </si>
  <si>
    <t xml:space="preserve">Prompt &amp; policy versioning</t>
  </si>
  <si>
    <t xml:space="preserve">Every prompt and agent policy versioned and attributable</t>
  </si>
  <si>
    <t xml:space="preserve">Decision Record store</t>
  </si>
  <si>
    <t xml:space="preserve">Signed, hash-chained decision records for every material decision</t>
  </si>
  <si>
    <t xml:space="preserve">N/A — evidence layer</t>
  </si>
  <si>
    <t xml:space="preserve">Fully operational — human decisions still generate records</t>
  </si>
  <si>
    <t xml:space="preserve">Agent incident management</t>
  </si>
  <si>
    <t xml:space="preserve">Incident log with automatic autonomy demotion on threshold breach</t>
  </si>
  <si>
    <t xml:space="preserve">Agent cost accounting</t>
  </si>
  <si>
    <t xml:space="preserve">Agent cost posted to the same cost centres as human labour</t>
  </si>
  <si>
    <t xml:space="preserve">Historical cost readable</t>
  </si>
  <si>
    <t xml:space="preserve">Continuity controller &amp; kill switch</t>
  </si>
  <si>
    <t xml:space="preserve">Scoped, sub-second, dual-approved, audited level control</t>
  </si>
  <si>
    <t xml:space="preserve">N/A — control layer</t>
  </si>
  <si>
    <t xml:space="preserve">This IS the L3 mechanism</t>
  </si>
  <si>
    <t xml:space="preserve">Customer agent observability</t>
  </si>
  <si>
    <t xml:space="preserve">Customer-facing dashboard: what agents did, cost, overrides, incidents</t>
  </si>
  <si>
    <t xml:space="preserve">N/A — transparency layer</t>
  </si>
  <si>
    <t xml:space="preserve">Fully operational (historical view)</t>
  </si>
  <si>
    <t xml:space="preserve">Domain Summary</t>
  </si>
  <si>
    <t xml:space="preserve">Live counts from the Module Matrix sheet. All figures are formulas — they update if the matrix changes.</t>
  </si>
  <si>
    <t xml:space="preserve">Modules</t>
  </si>
  <si>
    <t xml:space="preserve">Horizon 1</t>
  </si>
  <si>
    <t xml:space="preserve">Horizon 2</t>
  </si>
  <si>
    <t xml:space="preserve">Horizon 3</t>
  </si>
  <si>
    <t xml:space="preserve">No agent (deterministic only)</t>
  </si>
  <si>
    <t xml:space="preserve">Hard-capped agent autonomy</t>
  </si>
  <si>
    <t xml:space="preserve">TOTAL</t>
  </si>
  <si>
    <t xml:space="preserve">READING THIS TABLE</t>
  </si>
  <si>
    <t xml:space="preserve">Every module in every domain has a complete manual path. That is the point of the table: the 'Horizon' column is a build order, not a capability gate.</t>
  </si>
  <si>
    <t xml:space="preserve">'No agent (deterministic only)' counts modules where no agent capability exists by design — payment initiation, statutory contribution calculation, investigation content, whistleblower channels.</t>
  </si>
  <si>
    <t xml:space="preserve">'Hard-capped agent autonomy' counts modules where the autonomy ceiling is enforced in code and cannot be raised by configuration — anything touching pay, promotion, discipline or termination.</t>
  </si>
  <si>
    <t xml:space="preserve">Horizon 1 concentrates on the modules that payroll depends on. A customer can run their entire HR operation on Horizon 1 scope alone.</t>
  </si>
  <si>
    <t xml:space="preserve">Agent Portfolio</t>
  </si>
  <si>
    <t xml:space="preserve">Not one assistant — a managed workforce of specialists, each with a charter, a budget and a named accountable human owner.</t>
  </si>
  <si>
    <t xml:space="preserve">Group</t>
  </si>
  <si>
    <t xml:space="preserve">Agent</t>
  </si>
  <si>
    <t xml:space="preserve">Charter</t>
  </si>
  <si>
    <t xml:space="preserve">Accountable owner</t>
  </si>
  <si>
    <t xml:space="preserve">Build horizon</t>
  </si>
  <si>
    <t xml:space="preserve">Operations</t>
  </si>
  <si>
    <t xml:space="preserve">Payroll Preflight Agent</t>
  </si>
  <si>
    <t xml:space="preserve">Reconciles time, leave, comp changes and joiners/leavers against the coming cycle; flags anomalies against historical variance; produces a pre-run exception pack. NEVER computes pay.</t>
  </si>
  <si>
    <t xml:space="preserve">Payroll Manager</t>
  </si>
  <si>
    <t xml:space="preserve">Data Integrity Agent</t>
  </si>
  <si>
    <t xml:space="preserve">Continuously audits master data against policy and statutory requirements; opens correction transactions for approval.</t>
  </si>
  <si>
    <t xml:space="preserve">HR Operations Lead</t>
  </si>
  <si>
    <t xml:space="preserve">Compliance Watch Agent</t>
  </si>
  <si>
    <t xml:space="preserve">Monitors jurisdiction rule changes, maps them to affected entities and populations, drafts policy diffs for human review and compiler validation.</t>
  </si>
  <si>
    <t xml:space="preserve">Compliance Lead</t>
  </si>
  <si>
    <t xml:space="preserve">Document Agent</t>
  </si>
  <si>
    <t xml:space="preserve">Generates letters, contracts and statutory forms from templates and ledger data, with citation to every source field.</t>
  </si>
  <si>
    <t xml:space="preserve">Service</t>
  </si>
  <si>
    <t xml:space="preserve">Employee Answers Agent</t>
  </si>
  <si>
    <t xml:space="preserve">Answers policy, pay, leave and benefits questions from the customer's own policy versions, citing the governing clause and the employee's own data. Never guesses; escalates.</t>
  </si>
  <si>
    <t xml:space="preserve">HR Service Lead</t>
  </si>
  <si>
    <t xml:space="preserve">Case Triage Agent</t>
  </si>
  <si>
    <t xml:space="preserve">Classifies, routes, prioritises and drafts responses for HR cases. No access to investigation or whistleblower content.</t>
  </si>
  <si>
    <t xml:space="preserve">Onboarding Concierge</t>
  </si>
  <si>
    <t xml:space="preserve">Orchestrates the joiner journey across systems, chases blockers, answers new-joiner questions.</t>
  </si>
  <si>
    <t xml:space="preserve">Manager</t>
  </si>
  <si>
    <t xml:space="preserve">Manager Briefing Agent</t>
  </si>
  <si>
    <t xml:space="preserve">Team-level insight, upcoming actions, approval queue with full decision context.</t>
  </si>
  <si>
    <t xml:space="preserve">HR Business Partner</t>
  </si>
  <si>
    <t xml:space="preserve">Scheduling Agent</t>
  </si>
  <si>
    <t xml:space="preserve">Proposes rosters against demand, skills, availability, cost and statutory limits. The deterministic solver validates; the manager approves.</t>
  </si>
  <si>
    <t xml:space="preserve">Operations Manager</t>
  </si>
  <si>
    <t xml:space="preserve">Performance Preparation Agent</t>
  </si>
  <si>
    <t xml:space="preserve">Assembles evidence for review conversations. Drafts nothing evaluative; the manager authors all judgements.</t>
  </si>
  <si>
    <t xml:space="preserve">Talent</t>
  </si>
  <si>
    <t xml:space="preserve">Sourcing Agent</t>
  </si>
  <si>
    <t xml:space="preserve">Sources and enriches candidate profiles against explicit stated criteria.</t>
  </si>
  <si>
    <t xml:space="preserve">Talent Acquisition Lead</t>
  </si>
  <si>
    <t xml:space="preserve">Screening Agent</t>
  </si>
  <si>
    <t xml:space="preserve">Ranks candidates against explicit, stated, bias-tested criteria with a written reason for every ranking. Cannot reject.</t>
  </si>
  <si>
    <t xml:space="preserve">Interview Logistics Agent</t>
  </si>
  <si>
    <t xml:space="preserve">Schedules panels within defined constraints; handles rescheduling.</t>
  </si>
  <si>
    <t xml:space="preserve">Offer Modelling Agent</t>
  </si>
  <si>
    <t xml:space="preserve">Models offer scenarios against comp bands, budget and internal equity.</t>
  </si>
  <si>
    <t xml:space="preserve">Compensation Lead</t>
  </si>
  <si>
    <t xml:space="preserve">Analyst</t>
  </si>
  <si>
    <t xml:space="preserve">Workforce Analyst Agent</t>
  </si>
  <si>
    <t xml:space="preserve">Natural-language querying over the bitemporal ledger, returning deterministic results with the generated query shown to the user.</t>
  </si>
  <si>
    <t xml:space="preserve">HR Analytics Lead</t>
  </si>
  <si>
    <t xml:space="preserve">Scenario Agent</t>
  </si>
  <si>
    <t xml:space="preserve">Models restructures, pay reviews and headcount plans by running the deterministic engines — never by estimating.</t>
  </si>
  <si>
    <t xml:space="preserve">Platform</t>
  </si>
  <si>
    <t xml:space="preserve">Migration Agent</t>
  </si>
  <si>
    <t xml:space="preserve">Maps unfamiliar source schemas to our model during implementation; produces reconciliation reports.</t>
  </si>
  <si>
    <t xml:space="preserve">Implementation Lead</t>
  </si>
  <si>
    <t xml:space="preserve">Jurisdiction Pack Agent</t>
  </si>
  <si>
    <t xml:space="preserve">Drafts pack rules from published legislation for expert review, golden-dataset testing and signing.</t>
  </si>
  <si>
    <t xml:space="preserve">Payroll Engineering Lead</t>
  </si>
  <si>
    <t xml:space="preserve">HARD CONSTRAINTS ACROSS THE PORTFOLIO</t>
  </si>
  <si>
    <t xml:space="preserve">Screening, performance, promotion, discipline and termination agents are capped at L1 and cannot be raised to L0 by configuration. This is a code-level constraint, not a policy setting.</t>
  </si>
  <si>
    <t xml:space="preserve">No agent may act on protected-characteristic data unless the transaction class explicitly requires it and a documented lawful basis is attached.</t>
  </si>
  <si>
    <t xml:space="preserve">Every agent output shown to an employee carries a visible AI-involvement disclosure.</t>
  </si>
  <si>
    <t xml:space="preserve">No agent has database, payroll engine or workflow engine access. Agents emit typed Transaction Intents to the Control Gate. Nothing else.</t>
  </si>
  <si>
    <t xml:space="preserve">Every agent runs in shadow mode — proposing, never executing, scored against human decisions — before any autonomy is granted.</t>
  </si>
  <si>
    <t xml:space="preserve">Illustrative Unit Economics</t>
  </si>
  <si>
    <t xml:space="preserve">Planning assumptions only — not forecasts. Blue cells are inputs; edit those. Black cells are formulas. Yellow fill marks key assumptions.</t>
  </si>
  <si>
    <t xml:space="preserve">PRICING INPUTS (per employee per month)</t>
  </si>
  <si>
    <t xml:space="preserve">Deterministic Core PEPM — all 16 domains, unlimited manual use</t>
  </si>
  <si>
    <t xml:space="preserve">Agent Plane PEPM — flat, not metered, no credits</t>
  </si>
  <si>
    <t xml:space="preserve">Blended PEPM</t>
  </si>
  <si>
    <t xml:space="preserve">REFERENCE CUSTOMER</t>
  </si>
  <si>
    <t xml:space="preserve">Employees</t>
  </si>
  <si>
    <t xml:space="preserve">Legal entities</t>
  </si>
  <si>
    <t xml:space="preserve">Countries</t>
  </si>
  <si>
    <t xml:space="preserve">Jurisdiction pack price (per entity per country per year)</t>
  </si>
  <si>
    <t xml:space="preserve">ANNUAL CONTRACT VALUE</t>
  </si>
  <si>
    <t xml:space="preserve">Subscription ACV</t>
  </si>
  <si>
    <t xml:space="preserve">Jurisdiction pack ACV</t>
  </si>
  <si>
    <t xml:space="preserve">Total ACV</t>
  </si>
  <si>
    <t xml:space="preserve">Effective blended PEPM (all-in)</t>
  </si>
  <si>
    <t xml:space="preserve">COST TO SERVE (% of subscription revenue)</t>
  </si>
  <si>
    <t xml:space="preserve">Hosting, storage and deterministic compute</t>
  </si>
  <si>
    <t xml:space="preserve">Model inference (agent plane)</t>
  </si>
  <si>
    <t xml:space="preserve">Support and customer success</t>
  </si>
  <si>
    <t xml:space="preserve">Jurisdiction pack partner revenue share (% of pack ACV)</t>
  </si>
  <si>
    <t xml:space="preserve">Total cost of revenue</t>
  </si>
  <si>
    <t xml:space="preserve">Gross profit</t>
  </si>
  <si>
    <t xml:space="preserve">Gross margin</t>
  </si>
  <si>
    <t xml:space="preserve">ACQUISITION &amp; RETENTION</t>
  </si>
  <si>
    <t xml:space="preserve">Sales &amp; marketing cost per won customer</t>
  </si>
  <si>
    <t xml:space="preserve">Pre-sale parallel run — delivered free, our GTM wedge</t>
  </si>
  <si>
    <t xml:space="preserve">Fully loaded CAC</t>
  </si>
  <si>
    <t xml:space="preserve">Implementation fee (capped at 0.35x first-year ACV)</t>
  </si>
  <si>
    <t xml:space="preserve">Implementation delivery cost (as % of fee)</t>
  </si>
  <si>
    <t xml:space="preserve">Implementation contribution (first year)</t>
  </si>
  <si>
    <t xml:space="preserve">Gross-margin payback on CAC (months)</t>
  </si>
  <si>
    <t xml:space="preserve">Annual gross revenue retention</t>
  </si>
  <si>
    <t xml:space="preserve">Annual net revenue retention (entity + country + agent-tier expansion)</t>
  </si>
  <si>
    <t xml:space="preserve">Lifetime cap applied (years)</t>
  </si>
  <si>
    <t xml:space="preserve">Implied customer lifetime (lesser of 1/churn and the cap)</t>
  </si>
  <si>
    <t xml:space="preserve">LTV (gross profit basis, no expansion credit)</t>
  </si>
  <si>
    <t xml:space="preserve">LTV : CAC</t>
  </si>
  <si>
    <t xml:space="preserve">ASSUMPTIONS &amp; SOURCES</t>
  </si>
  <si>
    <t xml:space="preserve">PEPM inputs are founder planning assumptions positioned against the 2026 market benchmark of $15-40 PEPM for mid-market HRIS plus payroll (Part 1, Section 1).</t>
  </si>
  <si>
    <t xml:space="preserve">Gross margin below classic SaaS reflects model inference cost. It is protected by the deterministic core carrying the compute-heavy work and by small-model routing for the ~80% of agent calls that do not need frontier capability.</t>
  </si>
  <si>
    <t xml:space="preserve">The flat, non-metered agent PEPM is a deliberate commercial position against consumption pricing (Workday Flex Credits) and free-with-suite bundling (Oracle). See Part 2, Section 7.</t>
  </si>
  <si>
    <t xml:space="preserve">The pre-sale parallel run is charged to CAC, not to implementation. It is real delivery work we give away to invert the risk of the sale, and pretending otherwise would flatter the model.</t>
  </si>
  <si>
    <t xml:space="preserve">Implementation is priced as a capped loss leader for the first 50 customers; those engagements are R&amp;D for the migration accelerators that later make delivery partner-led.</t>
  </si>
  <si>
    <t xml:space="preserve">NRR assumption is driven by entity expansion, country expansion and agent-tier attach — not by module upsell, because all modules are bundled.</t>
  </si>
  <si>
    <t xml:space="preserve">READ THE LTV:CAC HONESTLY. A ratio above roughly 5x usually means a company is under-investing in sales rather than out-performing. We expect this to compress toward 4-5x as we scale distribution, and we would treat a persistently high ratio as a signal to spend more, not as a result to celebrate. The lifetime cap is applied because a 92% GRR implies a 12.5-year life that no early-stage company has earned the right to model.</t>
  </si>
  <si>
    <t xml:space="preserve">Every figure on this sheet is illustrative and must be replaced with actual pricing and cost data before use in a priced investor document.</t>
  </si>
</sst>
</file>

<file path=xl/styles.xml><?xml version="1.0" encoding="utf-8"?>
<styleSheet xmlns="http://schemas.openxmlformats.org/spreadsheetml/2006/main">
  <numFmts count="8">
    <numFmt numFmtId="164" formatCode="General"/>
    <numFmt numFmtId="165" formatCode="\$#,##0.00"/>
    <numFmt numFmtId="166" formatCode="#,##0"/>
    <numFmt numFmtId="167" formatCode="\$#,##0"/>
    <numFmt numFmtId="168" formatCode="0.0%"/>
    <numFmt numFmtId="169" formatCode="0.0"/>
    <numFmt numFmtId="170" formatCode="0"/>
    <numFmt numFmtId="171" formatCode="0.0\x"/>
  </numFmts>
  <fonts count="16">
    <font>
      <sz val="11"/>
      <color theme="1"/>
      <name val="Calibri"/>
      <family val="2"/>
      <charset val="1"/>
    </font>
    <font>
      <sz val="10"/>
      <name val="Arial"/>
      <family val="0"/>
    </font>
    <font>
      <sz val="10"/>
      <name val="Arial"/>
      <family val="0"/>
    </font>
    <font>
      <sz val="10"/>
      <name val="Arial"/>
      <family val="0"/>
    </font>
    <font>
      <b val="true"/>
      <sz val="16"/>
      <color rgb="FF1E2761"/>
      <name val="Arial"/>
      <family val="0"/>
      <charset val="1"/>
    </font>
    <font>
      <b val="true"/>
      <sz val="12"/>
      <color rgb="FF5A6472"/>
      <name val="Arial"/>
      <family val="0"/>
      <charset val="1"/>
    </font>
    <font>
      <i val="true"/>
      <sz val="10"/>
      <color rgb="FF5A6472"/>
      <name val="Arial"/>
      <family val="0"/>
      <charset val="1"/>
    </font>
    <font>
      <b val="true"/>
      <sz val="9"/>
      <name val="Arial"/>
      <family val="0"/>
      <charset val="1"/>
    </font>
    <font>
      <sz val="9"/>
      <name val="Arial"/>
      <family val="0"/>
      <charset val="1"/>
    </font>
    <font>
      <b val="true"/>
      <sz val="11"/>
      <color rgb="FF1E2761"/>
      <name val="Arial"/>
      <family val="0"/>
      <charset val="1"/>
    </font>
    <font>
      <b val="true"/>
      <sz val="10"/>
      <color rgb="FFFFFFFF"/>
      <name val="Arial"/>
      <family val="0"/>
      <charset val="1"/>
    </font>
    <font>
      <b val="true"/>
      <sz val="9"/>
      <color rgb="FF8A5A00"/>
      <name val="Arial"/>
      <family val="0"/>
      <charset val="1"/>
    </font>
    <font>
      <sz val="10"/>
      <name val="Arial"/>
      <family val="0"/>
      <charset val="1"/>
    </font>
    <font>
      <sz val="10"/>
      <color rgb="FF0000FF"/>
      <name val="Arial"/>
      <family val="0"/>
      <charset val="1"/>
    </font>
    <font>
      <b val="true"/>
      <sz val="10"/>
      <name val="Arial"/>
      <family val="0"/>
      <charset val="1"/>
    </font>
    <font>
      <i val="true"/>
      <sz val="9"/>
      <color rgb="FF5A6472"/>
      <name val="Arial"/>
      <family val="0"/>
      <charset val="1"/>
    </font>
  </fonts>
  <fills count="7">
    <fill>
      <patternFill patternType="none"/>
    </fill>
    <fill>
      <patternFill patternType="gray125"/>
    </fill>
    <fill>
      <patternFill patternType="solid">
        <fgColor rgb="FF1E2761"/>
        <bgColor rgb="FF333333"/>
      </patternFill>
    </fill>
    <fill>
      <patternFill patternType="solid">
        <fgColor rgb="FFEEF3FB"/>
        <bgColor rgb="FFFFFFFF"/>
      </patternFill>
    </fill>
    <fill>
      <patternFill patternType="solid">
        <fgColor rgb="FFCADCFC"/>
        <bgColor rgb="FFD0D7E5"/>
      </patternFill>
    </fill>
    <fill>
      <patternFill patternType="solid">
        <fgColor rgb="FFFFF3CD"/>
        <bgColor rgb="FFEEF3FB"/>
      </patternFill>
    </fill>
    <fill>
      <patternFill patternType="solid">
        <fgColor rgb="FFFFFF00"/>
        <bgColor rgb="FFFFFF00"/>
      </patternFill>
    </fill>
  </fills>
  <borders count="2">
    <border diagonalUp="false" diagonalDown="false">
      <left/>
      <right/>
      <top/>
      <bottom/>
      <diagonal/>
    </border>
    <border diagonalUp="false" diagonalDown="false">
      <left style="thin">
        <color rgb="FFD0D7E5"/>
      </left>
      <right style="thin">
        <color rgb="FFD0D7E5"/>
      </right>
      <top style="thin">
        <color rgb="FFD0D7E5"/>
      </top>
      <bottom style="thin">
        <color rgb="FFD0D7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3" fillId="6"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7" fontId="13" fillId="6"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8" fontId="13" fillId="6"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9" fontId="14" fillId="0" borderId="1"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71" fontId="14"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E2761"/>
          <bgColor rgb="FF000000"/>
        </patternFill>
      </fill>
    </dxf>
    <dxf>
      <fill>
        <patternFill patternType="solid">
          <fgColor rgb="FFEEF3FB"/>
          <bgColor rgb="FF000000"/>
        </patternFill>
      </fill>
    </dxf>
    <dxf>
      <fill>
        <patternFill patternType="solid">
          <bgColor rgb="FF000000"/>
        </patternFill>
      </fill>
    </dxf>
    <dxf>
      <fill>
        <patternFill patternType="solid">
          <fgColor rgb="FFFFFFFF"/>
          <bgColor rgb="FF000000"/>
        </patternFill>
      </fill>
    </dxf>
    <dxf>
      <fill>
        <patternFill patternType="solid">
          <fgColor rgb="FFFFF3CD"/>
          <bgColor rgb="FF000000"/>
        </patternFill>
      </fill>
    </dxf>
    <dxf>
      <fill>
        <patternFill patternType="solid">
          <fgColor rgb="FF8A5A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08080"/>
      <rgbColor rgb="FFC0C0C0"/>
      <rgbColor rgb="FF808080"/>
      <rgbColor rgb="FF9999FF"/>
      <rgbColor rgb="FF993366"/>
      <rgbColor rgb="FFFFF3CD"/>
      <rgbColor rgb="FFEEF3FB"/>
      <rgbColor rgb="FF660066"/>
      <rgbColor rgb="FFFF8080"/>
      <rgbColor rgb="FF0066CC"/>
      <rgbColor rgb="FFD0D7E5"/>
      <rgbColor rgb="FF000080"/>
      <rgbColor rgb="FFFF00FF"/>
      <rgbColor rgb="FFFFFF00"/>
      <rgbColor rgb="FF00FFFF"/>
      <rgbColor rgb="FF800080"/>
      <rgbColor rgb="FF800000"/>
      <rgbColor rgb="FF008080"/>
      <rgbColor rgb="FF0000FF"/>
      <rgbColor rgb="FF00CCFF"/>
      <rgbColor rgb="FFCADCFC"/>
      <rgbColor rgb="FFCCFFCC"/>
      <rgbColor rgb="FFFFFF99"/>
      <rgbColor rgb="FF99CCFF"/>
      <rgbColor rgb="FFFF99CC"/>
      <rgbColor rgb="FFCC99FF"/>
      <rgbColor rgb="FFFFCC99"/>
      <rgbColor rgb="FF3366FF"/>
      <rgbColor rgb="FF33CCCC"/>
      <rgbColor rgb="FF99CC00"/>
      <rgbColor rgb="FFFFCC00"/>
      <rgbColor rgb="FFFF9900"/>
      <rgbColor rgb="FFFF6600"/>
      <rgbColor rgb="FF5A6472"/>
      <rgbColor rgb="FF969696"/>
      <rgbColor rgb="FF1E276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c r="B5" s="5"/>
    </row>
    <row r="6" customFormat="false" ht="30" hidden="false" customHeight="true" outlineLevel="0" collapsed="false">
      <c r="A6" s="6" t="s">
        <v>3</v>
      </c>
      <c r="B6" s="5" t="s">
        <v>4</v>
      </c>
    </row>
    <row r="7" customFormat="false" ht="15" hidden="false" customHeight="false" outlineLevel="0" collapsed="false">
      <c r="A7" s="4"/>
      <c r="B7" s="5"/>
    </row>
    <row r="8" customFormat="false" ht="30" hidden="false" customHeight="true" outlineLevel="0" collapsed="false">
      <c r="A8" s="6" t="s">
        <v>5</v>
      </c>
      <c r="B8" s="5" t="s">
        <v>6</v>
      </c>
    </row>
    <row r="9" customFormat="false" ht="15" hidden="false" customHeight="false" outlineLevel="0" collapsed="false">
      <c r="A9" s="4"/>
      <c r="B9" s="5"/>
    </row>
    <row r="10" customFormat="false" ht="15" hidden="false" customHeight="false" outlineLevel="0" collapsed="false">
      <c r="A10" s="6" t="s">
        <v>7</v>
      </c>
      <c r="B10" s="5"/>
    </row>
    <row r="11" customFormat="false" ht="15" hidden="false" customHeight="false" outlineLevel="0" collapsed="false">
      <c r="A11" s="4" t="s">
        <v>8</v>
      </c>
      <c r="B11" s="5" t="s">
        <v>9</v>
      </c>
    </row>
    <row r="12" customFormat="false" ht="30" hidden="false" customHeight="true" outlineLevel="0" collapsed="false">
      <c r="A12" s="4" t="s">
        <v>10</v>
      </c>
      <c r="B12" s="5" t="s">
        <v>11</v>
      </c>
    </row>
    <row r="13" customFormat="false" ht="15" hidden="false" customHeight="false" outlineLevel="0" collapsed="false">
      <c r="A13" s="4" t="s">
        <v>12</v>
      </c>
      <c r="B13" s="5" t="s">
        <v>13</v>
      </c>
    </row>
    <row r="14" customFormat="false" ht="15" hidden="false" customHeight="false" outlineLevel="0" collapsed="false">
      <c r="A14" s="4" t="s">
        <v>14</v>
      </c>
      <c r="B14" s="5" t="s">
        <v>15</v>
      </c>
    </row>
    <row r="15" customFormat="false" ht="15" hidden="false" customHeight="false" outlineLevel="0" collapsed="false">
      <c r="A15" s="4" t="s">
        <v>16</v>
      </c>
      <c r="B15" s="5" t="s">
        <v>17</v>
      </c>
    </row>
    <row r="16" customFormat="false" ht="15" hidden="false" customHeight="false" outlineLevel="0" collapsed="false">
      <c r="A16" s="4"/>
      <c r="B16" s="5"/>
    </row>
    <row r="17" customFormat="false" ht="15" hidden="false" customHeight="false" outlineLevel="0" collapsed="false">
      <c r="A17" s="6" t="s">
        <v>18</v>
      </c>
      <c r="B17" s="5"/>
    </row>
    <row r="18" customFormat="false" ht="15" hidden="false" customHeight="false" outlineLevel="0" collapsed="false">
      <c r="A18" s="4" t="s">
        <v>19</v>
      </c>
      <c r="B18" s="5" t="s">
        <v>20</v>
      </c>
    </row>
    <row r="19" customFormat="false" ht="30" hidden="false" customHeight="true" outlineLevel="0" collapsed="false">
      <c r="A19" s="4" t="s">
        <v>21</v>
      </c>
      <c r="B19" s="5" t="s">
        <v>22</v>
      </c>
    </row>
    <row r="20" customFormat="false" ht="15" hidden="false" customHeight="false" outlineLevel="0" collapsed="false">
      <c r="A20" s="4" t="s">
        <v>23</v>
      </c>
      <c r="B20" s="5" t="s">
        <v>24</v>
      </c>
    </row>
    <row r="21" customFormat="false" ht="15" hidden="false" customHeight="false" outlineLevel="0" collapsed="false">
      <c r="A21" s="4" t="s">
        <v>25</v>
      </c>
      <c r="B21" s="5" t="s">
        <v>26</v>
      </c>
    </row>
    <row r="22" customFormat="false" ht="15" hidden="false" customHeight="false" outlineLevel="0" collapsed="false">
      <c r="A22" s="4"/>
      <c r="B22" s="5"/>
    </row>
    <row r="23" customFormat="false" ht="15" hidden="false" customHeight="false" outlineLevel="0" collapsed="false">
      <c r="A23" s="6" t="s">
        <v>27</v>
      </c>
      <c r="B23" s="5"/>
    </row>
    <row r="24" customFormat="false" ht="15" hidden="false" customHeight="false" outlineLevel="0" collapsed="false">
      <c r="A24" s="4" t="s">
        <v>28</v>
      </c>
      <c r="B24" s="5" t="s">
        <v>29</v>
      </c>
    </row>
    <row r="25" customFormat="false" ht="15" hidden="false" customHeight="false" outlineLevel="0" collapsed="false">
      <c r="A25" s="4" t="s">
        <v>30</v>
      </c>
      <c r="B25" s="5" t="s">
        <v>31</v>
      </c>
    </row>
    <row r="26" customFormat="false" ht="15" hidden="false" customHeight="false" outlineLevel="0" collapsed="false">
      <c r="A26" s="4" t="s">
        <v>32</v>
      </c>
      <c r="B26" s="5" t="s">
        <v>33</v>
      </c>
    </row>
    <row r="27" customFormat="false" ht="15" hidden="false" customHeight="false" outlineLevel="0" collapsed="false">
      <c r="A27" s="4"/>
      <c r="B27" s="5"/>
    </row>
    <row r="28" customFormat="false" ht="30" hidden="false" customHeight="true" outlineLevel="0" collapsed="false">
      <c r="A28" s="6" t="s">
        <v>34</v>
      </c>
      <c r="B28" s="5"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46"/>
    <col collapsed="false" customWidth="true" hidden="false" outlineLevel="0" max="6" min="4" style="0" width="34"/>
  </cols>
  <sheetData>
    <row r="1" customFormat="false" ht="19.7" hidden="false" customHeight="false" outlineLevel="0" collapsed="false">
      <c r="A1" s="1" t="s">
        <v>36</v>
      </c>
    </row>
    <row r="2" customFormat="false" ht="15" hidden="false" customHeight="false" outlineLevel="0" collapsed="false">
      <c r="A2" s="3" t="s">
        <v>37</v>
      </c>
    </row>
    <row r="4" customFormat="false" ht="30" hidden="false" customHeight="true" outlineLevel="0" collapsed="false">
      <c r="A4" s="7" t="s">
        <v>38</v>
      </c>
      <c r="B4" s="7" t="s">
        <v>39</v>
      </c>
      <c r="C4" s="7" t="s">
        <v>40</v>
      </c>
      <c r="D4" s="7" t="s">
        <v>41</v>
      </c>
      <c r="E4" s="7" t="s">
        <v>42</v>
      </c>
      <c r="F4" s="7" t="s">
        <v>43</v>
      </c>
    </row>
    <row r="5" customFormat="false" ht="91.5" hidden="false" customHeight="true" outlineLevel="0" collapsed="false">
      <c r="A5" s="8" t="s">
        <v>44</v>
      </c>
      <c r="B5" s="9" t="s">
        <v>45</v>
      </c>
      <c r="C5" s="10" t="s">
        <v>46</v>
      </c>
      <c r="D5" s="10" t="s">
        <v>47</v>
      </c>
      <c r="E5" s="10" t="s">
        <v>48</v>
      </c>
      <c r="F5" s="10" t="s">
        <v>49</v>
      </c>
    </row>
    <row r="6" customFormat="false" ht="91.5" hidden="false" customHeight="true" outlineLevel="0" collapsed="false">
      <c r="A6" s="11" t="s">
        <v>50</v>
      </c>
      <c r="B6" s="12" t="s">
        <v>51</v>
      </c>
      <c r="C6" s="13" t="s">
        <v>52</v>
      </c>
      <c r="D6" s="13" t="s">
        <v>53</v>
      </c>
      <c r="E6" s="13" t="s">
        <v>54</v>
      </c>
      <c r="F6" s="13" t="s">
        <v>55</v>
      </c>
    </row>
    <row r="7" customFormat="false" ht="91.5" hidden="false" customHeight="true" outlineLevel="0" collapsed="false">
      <c r="A7" s="8" t="s">
        <v>56</v>
      </c>
      <c r="B7" s="9" t="s">
        <v>57</v>
      </c>
      <c r="C7" s="10" t="s">
        <v>58</v>
      </c>
      <c r="D7" s="10" t="s">
        <v>59</v>
      </c>
      <c r="E7" s="10" t="s">
        <v>60</v>
      </c>
      <c r="F7" s="10" t="s">
        <v>61</v>
      </c>
    </row>
    <row r="8" customFormat="false" ht="91.5" hidden="false" customHeight="true" outlineLevel="0" collapsed="false">
      <c r="A8" s="14" t="s">
        <v>62</v>
      </c>
      <c r="B8" s="15" t="s">
        <v>63</v>
      </c>
      <c r="C8" s="16" t="s">
        <v>64</v>
      </c>
      <c r="D8" s="16" t="s">
        <v>65</v>
      </c>
      <c r="E8" s="16" t="s">
        <v>66</v>
      </c>
      <c r="F8" s="16" t="s">
        <v>67</v>
      </c>
    </row>
    <row r="9" customFormat="false" ht="91.5" hidden="false" customHeight="true" outlineLevel="0" collapsed="false">
      <c r="A9" s="8" t="s">
        <v>68</v>
      </c>
      <c r="B9" s="9" t="s">
        <v>69</v>
      </c>
      <c r="C9" s="10" t="s">
        <v>70</v>
      </c>
      <c r="D9" s="10" t="s">
        <v>71</v>
      </c>
      <c r="E9" s="10" t="s">
        <v>72</v>
      </c>
      <c r="F9" s="10" t="s">
        <v>73</v>
      </c>
    </row>
    <row r="11" customFormat="false" ht="15" hidden="false" customHeight="false" outlineLevel="0" collapsed="false">
      <c r="A11" s="6" t="s">
        <v>74</v>
      </c>
    </row>
    <row r="12" customFormat="false" ht="25.5" hidden="false" customHeight="true" outlineLevel="0" collapsed="false">
      <c r="A12" s="17" t="s">
        <v>75</v>
      </c>
      <c r="B12" s="17"/>
      <c r="C12" s="17"/>
      <c r="D12" s="17"/>
      <c r="E12" s="17"/>
      <c r="F12" s="17"/>
    </row>
    <row r="13" customFormat="false" ht="25.5" hidden="false" customHeight="true" outlineLevel="0" collapsed="false">
      <c r="A13" s="17" t="s">
        <v>76</v>
      </c>
      <c r="B13" s="17"/>
      <c r="C13" s="17"/>
      <c r="D13" s="17"/>
      <c r="E13" s="17"/>
      <c r="F13" s="17"/>
    </row>
    <row r="14" customFormat="false" ht="25.5" hidden="false" customHeight="true" outlineLevel="0" collapsed="false">
      <c r="A14" s="17" t="s">
        <v>77</v>
      </c>
      <c r="B14" s="17"/>
      <c r="C14" s="17"/>
      <c r="D14" s="17"/>
      <c r="E14" s="17"/>
      <c r="F14" s="17"/>
    </row>
    <row r="15" customFormat="false" ht="25.5" hidden="false" customHeight="true" outlineLevel="0" collapsed="false">
      <c r="A15" s="17" t="s">
        <v>78</v>
      </c>
      <c r="B15" s="17"/>
      <c r="C15" s="17"/>
      <c r="D15" s="17"/>
      <c r="E15" s="17"/>
      <c r="F15" s="17"/>
    </row>
    <row r="16" customFormat="false" ht="25.5" hidden="false" customHeight="true" outlineLevel="0" collapsed="false">
      <c r="A16" s="17" t="s">
        <v>79</v>
      </c>
      <c r="B16" s="17"/>
      <c r="C16" s="17"/>
      <c r="D16" s="17"/>
      <c r="E16" s="17"/>
      <c r="F16" s="17"/>
    </row>
    <row r="17" customFormat="false" ht="25.5" hidden="false" customHeight="true" outlineLevel="0" collapsed="false">
      <c r="A17" s="17" t="s">
        <v>80</v>
      </c>
      <c r="B17" s="17"/>
      <c r="C17" s="17"/>
      <c r="D17" s="17"/>
      <c r="E17" s="17"/>
      <c r="F17" s="17"/>
    </row>
  </sheetData>
  <mergeCells count="6">
    <mergeCell ref="A12:F12"/>
    <mergeCell ref="A13:F13"/>
    <mergeCell ref="A14:F14"/>
    <mergeCell ref="A15:F15"/>
    <mergeCell ref="A16:F16"/>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34"/>
    <col collapsed="false" customWidth="true" hidden="false" outlineLevel="0" max="4" min="4" style="0" width="52"/>
    <col collapsed="false" customWidth="true" hidden="false" outlineLevel="0" max="5" min="5" style="0" width="46"/>
    <col collapsed="false" customWidth="true" hidden="false" outlineLevel="0" max="6" min="6" style="0" width="11"/>
    <col collapsed="false" customWidth="true" hidden="false" outlineLevel="0" max="7" min="7" style="0" width="40"/>
    <col collapsed="false" customWidth="true" hidden="false" outlineLevel="0" max="8" min="8" style="0" width="9"/>
  </cols>
  <sheetData>
    <row r="1" customFormat="false" ht="19.7" hidden="false" customHeight="false" outlineLevel="0" collapsed="false">
      <c r="A1" s="1" t="s">
        <v>81</v>
      </c>
    </row>
    <row r="2" customFormat="false" ht="15" hidden="false" customHeight="false" outlineLevel="0" collapsed="false">
      <c r="A2" s="3" t="s">
        <v>82</v>
      </c>
    </row>
    <row r="4" customFormat="false" ht="30" hidden="false" customHeight="true" outlineLevel="0" collapsed="false">
      <c r="A4" s="7" t="s">
        <v>83</v>
      </c>
      <c r="B4" s="7" t="s">
        <v>84</v>
      </c>
      <c r="C4" s="7" t="s">
        <v>85</v>
      </c>
      <c r="D4" s="7" t="s">
        <v>86</v>
      </c>
      <c r="E4" s="7" t="s">
        <v>87</v>
      </c>
      <c r="F4" s="7" t="s">
        <v>88</v>
      </c>
      <c r="G4" s="7" t="s">
        <v>89</v>
      </c>
      <c r="H4" s="7" t="s">
        <v>90</v>
      </c>
    </row>
    <row r="5" customFormat="false" ht="36" hidden="false" customHeight="true" outlineLevel="0" collapsed="false">
      <c r="A5" s="18" t="n">
        <v>1</v>
      </c>
      <c r="B5" s="12" t="s">
        <v>91</v>
      </c>
      <c r="C5" s="12" t="s">
        <v>92</v>
      </c>
      <c r="D5" s="13" t="s">
        <v>93</v>
      </c>
      <c r="E5" s="13" t="s">
        <v>94</v>
      </c>
      <c r="F5" s="18" t="s">
        <v>50</v>
      </c>
      <c r="G5" s="13" t="s">
        <v>95</v>
      </c>
      <c r="H5" s="18" t="s">
        <v>96</v>
      </c>
    </row>
    <row r="6" customFormat="false" ht="36" hidden="false" customHeight="true" outlineLevel="0" collapsed="false">
      <c r="A6" s="19" t="n">
        <v>2</v>
      </c>
      <c r="B6" s="9" t="s">
        <v>91</v>
      </c>
      <c r="C6" s="9" t="s">
        <v>97</v>
      </c>
      <c r="D6" s="10" t="s">
        <v>98</v>
      </c>
      <c r="E6" s="10" t="s">
        <v>99</v>
      </c>
      <c r="F6" s="19" t="s">
        <v>100</v>
      </c>
      <c r="G6" s="10" t="s">
        <v>95</v>
      </c>
      <c r="H6" s="19" t="s">
        <v>96</v>
      </c>
    </row>
    <row r="7" customFormat="false" ht="36" hidden="false" customHeight="true" outlineLevel="0" collapsed="false">
      <c r="A7" s="18" t="n">
        <v>3</v>
      </c>
      <c r="B7" s="12" t="s">
        <v>91</v>
      </c>
      <c r="C7" s="12" t="s">
        <v>101</v>
      </c>
      <c r="D7" s="13" t="s">
        <v>102</v>
      </c>
      <c r="E7" s="13" t="s">
        <v>103</v>
      </c>
      <c r="F7" s="18" t="s">
        <v>50</v>
      </c>
      <c r="G7" s="13" t="s">
        <v>95</v>
      </c>
      <c r="H7" s="18" t="s">
        <v>96</v>
      </c>
    </row>
    <row r="8" customFormat="false" ht="36" hidden="false" customHeight="true" outlineLevel="0" collapsed="false">
      <c r="A8" s="19" t="n">
        <v>4</v>
      </c>
      <c r="B8" s="9" t="s">
        <v>91</v>
      </c>
      <c r="C8" s="9" t="s">
        <v>104</v>
      </c>
      <c r="D8" s="10" t="s">
        <v>105</v>
      </c>
      <c r="E8" s="10" t="s">
        <v>106</v>
      </c>
      <c r="F8" s="19" t="s">
        <v>50</v>
      </c>
      <c r="G8" s="10" t="s">
        <v>95</v>
      </c>
      <c r="H8" s="19" t="s">
        <v>96</v>
      </c>
    </row>
    <row r="9" customFormat="false" ht="36" hidden="false" customHeight="true" outlineLevel="0" collapsed="false">
      <c r="A9" s="18" t="n">
        <v>5</v>
      </c>
      <c r="B9" s="12" t="s">
        <v>91</v>
      </c>
      <c r="C9" s="12" t="s">
        <v>107</v>
      </c>
      <c r="D9" s="13" t="s">
        <v>108</v>
      </c>
      <c r="E9" s="13" t="s">
        <v>109</v>
      </c>
      <c r="F9" s="18" t="s">
        <v>50</v>
      </c>
      <c r="G9" s="13" t="s">
        <v>95</v>
      </c>
      <c r="H9" s="18" t="s">
        <v>96</v>
      </c>
    </row>
    <row r="10" customFormat="false" ht="36" hidden="false" customHeight="true" outlineLevel="0" collapsed="false">
      <c r="A10" s="19" t="n">
        <v>6</v>
      </c>
      <c r="B10" s="9" t="s">
        <v>91</v>
      </c>
      <c r="C10" s="9" t="s">
        <v>110</v>
      </c>
      <c r="D10" s="10" t="s">
        <v>111</v>
      </c>
      <c r="E10" s="10" t="s">
        <v>112</v>
      </c>
      <c r="F10" s="19" t="s">
        <v>50</v>
      </c>
      <c r="G10" s="10" t="s">
        <v>95</v>
      </c>
      <c r="H10" s="19" t="s">
        <v>96</v>
      </c>
    </row>
    <row r="11" customFormat="false" ht="36" hidden="false" customHeight="true" outlineLevel="0" collapsed="false">
      <c r="A11" s="18" t="n">
        <v>7</v>
      </c>
      <c r="B11" s="12" t="s">
        <v>91</v>
      </c>
      <c r="C11" s="12" t="s">
        <v>113</v>
      </c>
      <c r="D11" s="13" t="s">
        <v>114</v>
      </c>
      <c r="E11" s="13" t="s">
        <v>115</v>
      </c>
      <c r="F11" s="18" t="s">
        <v>50</v>
      </c>
      <c r="G11" s="13" t="s">
        <v>95</v>
      </c>
      <c r="H11" s="18" t="s">
        <v>96</v>
      </c>
    </row>
    <row r="12" customFormat="false" ht="36" hidden="false" customHeight="true" outlineLevel="0" collapsed="false">
      <c r="A12" s="19" t="n">
        <v>8</v>
      </c>
      <c r="B12" s="9" t="s">
        <v>91</v>
      </c>
      <c r="C12" s="9" t="s">
        <v>116</v>
      </c>
      <c r="D12" s="10" t="s">
        <v>117</v>
      </c>
      <c r="E12" s="10" t="s">
        <v>99</v>
      </c>
      <c r="F12" s="19" t="s">
        <v>100</v>
      </c>
      <c r="G12" s="10" t="s">
        <v>95</v>
      </c>
      <c r="H12" s="19" t="s">
        <v>96</v>
      </c>
    </row>
    <row r="13" customFormat="false" ht="36" hidden="false" customHeight="true" outlineLevel="0" collapsed="false">
      <c r="A13" s="18" t="n">
        <v>9</v>
      </c>
      <c r="B13" s="12" t="s">
        <v>91</v>
      </c>
      <c r="C13" s="12" t="s">
        <v>118</v>
      </c>
      <c r="D13" s="13" t="s">
        <v>119</v>
      </c>
      <c r="E13" s="13" t="s">
        <v>120</v>
      </c>
      <c r="F13" s="18" t="s">
        <v>50</v>
      </c>
      <c r="G13" s="13" t="s">
        <v>95</v>
      </c>
      <c r="H13" s="18" t="s">
        <v>96</v>
      </c>
    </row>
    <row r="14" customFormat="false" ht="36" hidden="false" customHeight="true" outlineLevel="0" collapsed="false">
      <c r="A14" s="19" t="n">
        <v>10</v>
      </c>
      <c r="B14" s="9" t="s">
        <v>91</v>
      </c>
      <c r="C14" s="9" t="s">
        <v>121</v>
      </c>
      <c r="D14" s="10" t="s">
        <v>122</v>
      </c>
      <c r="E14" s="10" t="s">
        <v>123</v>
      </c>
      <c r="F14" s="19" t="s">
        <v>50</v>
      </c>
      <c r="G14" s="10" t="s">
        <v>95</v>
      </c>
      <c r="H14" s="19" t="s">
        <v>96</v>
      </c>
    </row>
    <row r="15" customFormat="false" ht="36" hidden="false" customHeight="true" outlineLevel="0" collapsed="false">
      <c r="A15" s="18" t="n">
        <v>11</v>
      </c>
      <c r="B15" s="12" t="s">
        <v>91</v>
      </c>
      <c r="C15" s="12" t="s">
        <v>124</v>
      </c>
      <c r="D15" s="13" t="s">
        <v>125</v>
      </c>
      <c r="E15" s="13" t="s">
        <v>99</v>
      </c>
      <c r="F15" s="18" t="s">
        <v>100</v>
      </c>
      <c r="G15" s="13" t="s">
        <v>95</v>
      </c>
      <c r="H15" s="18" t="s">
        <v>96</v>
      </c>
    </row>
    <row r="16" customFormat="false" ht="36" hidden="false" customHeight="true" outlineLevel="0" collapsed="false">
      <c r="A16" s="19" t="n">
        <v>12</v>
      </c>
      <c r="B16" s="9" t="s">
        <v>91</v>
      </c>
      <c r="C16" s="9" t="s">
        <v>126</v>
      </c>
      <c r="D16" s="10" t="s">
        <v>127</v>
      </c>
      <c r="E16" s="10" t="s">
        <v>128</v>
      </c>
      <c r="F16" s="19" t="s">
        <v>50</v>
      </c>
      <c r="G16" s="10" t="s">
        <v>95</v>
      </c>
      <c r="H16" s="19" t="s">
        <v>96</v>
      </c>
    </row>
    <row r="17" customFormat="false" ht="36" hidden="false" customHeight="true" outlineLevel="0" collapsed="false">
      <c r="A17" s="18" t="n">
        <v>13</v>
      </c>
      <c r="B17" s="12" t="s">
        <v>91</v>
      </c>
      <c r="C17" s="12" t="s">
        <v>129</v>
      </c>
      <c r="D17" s="13" t="s">
        <v>130</v>
      </c>
      <c r="E17" s="13" t="s">
        <v>99</v>
      </c>
      <c r="F17" s="18" t="s">
        <v>100</v>
      </c>
      <c r="G17" s="13" t="s">
        <v>95</v>
      </c>
      <c r="H17" s="18" t="s">
        <v>96</v>
      </c>
    </row>
    <row r="18" customFormat="false" ht="36" hidden="false" customHeight="true" outlineLevel="0" collapsed="false">
      <c r="A18" s="19" t="n">
        <v>14</v>
      </c>
      <c r="B18" s="9" t="s">
        <v>91</v>
      </c>
      <c r="C18" s="9" t="s">
        <v>131</v>
      </c>
      <c r="D18" s="10" t="s">
        <v>132</v>
      </c>
      <c r="E18" s="10" t="s">
        <v>133</v>
      </c>
      <c r="F18" s="19" t="s">
        <v>50</v>
      </c>
      <c r="G18" s="10" t="s">
        <v>95</v>
      </c>
      <c r="H18" s="19" t="s">
        <v>96</v>
      </c>
    </row>
    <row r="19" customFormat="false" ht="36" hidden="false" customHeight="true" outlineLevel="0" collapsed="false">
      <c r="A19" s="18" t="n">
        <v>15</v>
      </c>
      <c r="B19" s="12" t="s">
        <v>91</v>
      </c>
      <c r="C19" s="12" t="s">
        <v>134</v>
      </c>
      <c r="D19" s="13" t="s">
        <v>135</v>
      </c>
      <c r="E19" s="13" t="s">
        <v>136</v>
      </c>
      <c r="F19" s="18" t="s">
        <v>56</v>
      </c>
      <c r="G19" s="13" t="s">
        <v>137</v>
      </c>
      <c r="H19" s="18" t="s">
        <v>96</v>
      </c>
    </row>
    <row r="20" customFormat="false" ht="36" hidden="false" customHeight="true" outlineLevel="0" collapsed="false">
      <c r="A20" s="19" t="n">
        <v>16</v>
      </c>
      <c r="B20" s="9" t="s">
        <v>91</v>
      </c>
      <c r="C20" s="9" t="s">
        <v>138</v>
      </c>
      <c r="D20" s="10" t="s">
        <v>139</v>
      </c>
      <c r="E20" s="10" t="s">
        <v>140</v>
      </c>
      <c r="F20" s="19" t="s">
        <v>50</v>
      </c>
      <c r="G20" s="10" t="s">
        <v>95</v>
      </c>
      <c r="H20" s="19" t="s">
        <v>96</v>
      </c>
    </row>
    <row r="21" customFormat="false" ht="36" hidden="false" customHeight="true" outlineLevel="0" collapsed="false">
      <c r="A21" s="18" t="n">
        <v>17</v>
      </c>
      <c r="B21" s="12" t="s">
        <v>141</v>
      </c>
      <c r="C21" s="12" t="s">
        <v>142</v>
      </c>
      <c r="D21" s="13" t="s">
        <v>143</v>
      </c>
      <c r="E21" s="13" t="s">
        <v>144</v>
      </c>
      <c r="F21" s="18" t="s">
        <v>50</v>
      </c>
      <c r="G21" s="13" t="s">
        <v>95</v>
      </c>
      <c r="H21" s="18" t="s">
        <v>96</v>
      </c>
    </row>
    <row r="22" customFormat="false" ht="36" hidden="false" customHeight="true" outlineLevel="0" collapsed="false">
      <c r="A22" s="19" t="n">
        <v>18</v>
      </c>
      <c r="B22" s="9" t="s">
        <v>141</v>
      </c>
      <c r="C22" s="9" t="s">
        <v>145</v>
      </c>
      <c r="D22" s="10" t="s">
        <v>146</v>
      </c>
      <c r="E22" s="10" t="s">
        <v>147</v>
      </c>
      <c r="F22" s="19" t="s">
        <v>50</v>
      </c>
      <c r="G22" s="10" t="s">
        <v>95</v>
      </c>
      <c r="H22" s="19" t="s">
        <v>96</v>
      </c>
    </row>
    <row r="23" customFormat="false" ht="36" hidden="false" customHeight="true" outlineLevel="0" collapsed="false">
      <c r="A23" s="18" t="n">
        <v>19</v>
      </c>
      <c r="B23" s="12" t="s">
        <v>141</v>
      </c>
      <c r="C23" s="12" t="s">
        <v>148</v>
      </c>
      <c r="D23" s="13" t="s">
        <v>149</v>
      </c>
      <c r="E23" s="13" t="s">
        <v>150</v>
      </c>
      <c r="F23" s="18" t="s">
        <v>56</v>
      </c>
      <c r="G23" s="13" t="s">
        <v>95</v>
      </c>
      <c r="H23" s="18" t="s">
        <v>96</v>
      </c>
    </row>
    <row r="24" customFormat="false" ht="36" hidden="false" customHeight="true" outlineLevel="0" collapsed="false">
      <c r="A24" s="19" t="n">
        <v>20</v>
      </c>
      <c r="B24" s="9" t="s">
        <v>141</v>
      </c>
      <c r="C24" s="9" t="s">
        <v>151</v>
      </c>
      <c r="D24" s="10" t="s">
        <v>152</v>
      </c>
      <c r="E24" s="10" t="s">
        <v>153</v>
      </c>
      <c r="F24" s="19" t="s">
        <v>50</v>
      </c>
      <c r="G24" s="10" t="s">
        <v>154</v>
      </c>
      <c r="H24" s="19" t="s">
        <v>96</v>
      </c>
    </row>
    <row r="25" customFormat="false" ht="36" hidden="false" customHeight="true" outlineLevel="0" collapsed="false">
      <c r="A25" s="18" t="n">
        <v>21</v>
      </c>
      <c r="B25" s="12" t="s">
        <v>141</v>
      </c>
      <c r="C25" s="12" t="s">
        <v>155</v>
      </c>
      <c r="D25" s="13" t="s">
        <v>156</v>
      </c>
      <c r="E25" s="13" t="s">
        <v>157</v>
      </c>
      <c r="F25" s="18" t="s">
        <v>50</v>
      </c>
      <c r="G25" s="13" t="s">
        <v>158</v>
      </c>
      <c r="H25" s="18" t="s">
        <v>96</v>
      </c>
    </row>
    <row r="26" customFormat="false" ht="36" hidden="false" customHeight="true" outlineLevel="0" collapsed="false">
      <c r="A26" s="19" t="n">
        <v>22</v>
      </c>
      <c r="B26" s="9" t="s">
        <v>141</v>
      </c>
      <c r="C26" s="9" t="s">
        <v>159</v>
      </c>
      <c r="D26" s="10" t="s">
        <v>160</v>
      </c>
      <c r="E26" s="10" t="s">
        <v>161</v>
      </c>
      <c r="F26" s="19" t="s">
        <v>50</v>
      </c>
      <c r="G26" s="10" t="s">
        <v>95</v>
      </c>
      <c r="H26" s="19" t="s">
        <v>96</v>
      </c>
    </row>
    <row r="27" customFormat="false" ht="36" hidden="false" customHeight="true" outlineLevel="0" collapsed="false">
      <c r="A27" s="18" t="n">
        <v>23</v>
      </c>
      <c r="B27" s="12" t="s">
        <v>141</v>
      </c>
      <c r="C27" s="12" t="s">
        <v>162</v>
      </c>
      <c r="D27" s="13" t="s">
        <v>163</v>
      </c>
      <c r="E27" s="13" t="s">
        <v>164</v>
      </c>
      <c r="F27" s="18" t="s">
        <v>50</v>
      </c>
      <c r="G27" s="13" t="s">
        <v>95</v>
      </c>
      <c r="H27" s="18" t="s">
        <v>96</v>
      </c>
    </row>
    <row r="28" customFormat="false" ht="36" hidden="false" customHeight="true" outlineLevel="0" collapsed="false">
      <c r="A28" s="19" t="n">
        <v>24</v>
      </c>
      <c r="B28" s="9" t="s">
        <v>141</v>
      </c>
      <c r="C28" s="9" t="s">
        <v>165</v>
      </c>
      <c r="D28" s="10" t="s">
        <v>166</v>
      </c>
      <c r="E28" s="10" t="s">
        <v>167</v>
      </c>
      <c r="F28" s="19" t="s">
        <v>50</v>
      </c>
      <c r="G28" s="10" t="s">
        <v>95</v>
      </c>
      <c r="H28" s="19" t="s">
        <v>96</v>
      </c>
    </row>
    <row r="29" customFormat="false" ht="36" hidden="false" customHeight="true" outlineLevel="0" collapsed="false">
      <c r="A29" s="18" t="n">
        <v>25</v>
      </c>
      <c r="B29" s="12" t="s">
        <v>141</v>
      </c>
      <c r="C29" s="12" t="s">
        <v>168</v>
      </c>
      <c r="D29" s="13" t="s">
        <v>169</v>
      </c>
      <c r="E29" s="13" t="s">
        <v>99</v>
      </c>
      <c r="F29" s="18" t="s">
        <v>100</v>
      </c>
      <c r="G29" s="13" t="s">
        <v>95</v>
      </c>
      <c r="H29" s="18" t="s">
        <v>96</v>
      </c>
    </row>
    <row r="30" customFormat="false" ht="36" hidden="false" customHeight="true" outlineLevel="0" collapsed="false">
      <c r="A30" s="19" t="n">
        <v>26</v>
      </c>
      <c r="B30" s="9" t="s">
        <v>141</v>
      </c>
      <c r="C30" s="9" t="s">
        <v>170</v>
      </c>
      <c r="D30" s="10" t="s">
        <v>171</v>
      </c>
      <c r="E30" s="10" t="s">
        <v>172</v>
      </c>
      <c r="F30" s="19" t="s">
        <v>50</v>
      </c>
      <c r="G30" s="10" t="s">
        <v>173</v>
      </c>
      <c r="H30" s="19" t="s">
        <v>96</v>
      </c>
    </row>
    <row r="31" customFormat="false" ht="36" hidden="false" customHeight="true" outlineLevel="0" collapsed="false">
      <c r="A31" s="18" t="n">
        <v>27</v>
      </c>
      <c r="B31" s="12" t="s">
        <v>141</v>
      </c>
      <c r="C31" s="12" t="s">
        <v>174</v>
      </c>
      <c r="D31" s="13" t="s">
        <v>175</v>
      </c>
      <c r="E31" s="13" t="s">
        <v>176</v>
      </c>
      <c r="F31" s="18" t="s">
        <v>56</v>
      </c>
      <c r="G31" s="13" t="s">
        <v>95</v>
      </c>
      <c r="H31" s="18" t="s">
        <v>96</v>
      </c>
    </row>
    <row r="32" customFormat="false" ht="36" hidden="false" customHeight="true" outlineLevel="0" collapsed="false">
      <c r="A32" s="19" t="n">
        <v>28</v>
      </c>
      <c r="B32" s="9" t="s">
        <v>141</v>
      </c>
      <c r="C32" s="9" t="s">
        <v>177</v>
      </c>
      <c r="D32" s="10" t="s">
        <v>178</v>
      </c>
      <c r="E32" s="10" t="s">
        <v>179</v>
      </c>
      <c r="F32" s="19" t="s">
        <v>50</v>
      </c>
      <c r="G32" s="10" t="s">
        <v>180</v>
      </c>
      <c r="H32" s="19" t="s">
        <v>96</v>
      </c>
    </row>
    <row r="33" customFormat="false" ht="36" hidden="false" customHeight="true" outlineLevel="0" collapsed="false">
      <c r="A33" s="18" t="n">
        <v>29</v>
      </c>
      <c r="B33" s="12" t="s">
        <v>141</v>
      </c>
      <c r="C33" s="12" t="s">
        <v>181</v>
      </c>
      <c r="D33" s="13" t="s">
        <v>182</v>
      </c>
      <c r="E33" s="13" t="s">
        <v>183</v>
      </c>
      <c r="F33" s="18" t="s">
        <v>50</v>
      </c>
      <c r="G33" s="13" t="s">
        <v>95</v>
      </c>
      <c r="H33" s="18" t="s">
        <v>96</v>
      </c>
    </row>
    <row r="34" customFormat="false" ht="36" hidden="false" customHeight="true" outlineLevel="0" collapsed="false">
      <c r="A34" s="19" t="n">
        <v>30</v>
      </c>
      <c r="B34" s="9" t="s">
        <v>141</v>
      </c>
      <c r="C34" s="9" t="s">
        <v>184</v>
      </c>
      <c r="D34" s="10" t="s">
        <v>185</v>
      </c>
      <c r="E34" s="10" t="s">
        <v>186</v>
      </c>
      <c r="F34" s="19" t="s">
        <v>50</v>
      </c>
      <c r="G34" s="10" t="s">
        <v>187</v>
      </c>
      <c r="H34" s="19" t="s">
        <v>96</v>
      </c>
    </row>
    <row r="35" customFormat="false" ht="36" hidden="false" customHeight="true" outlineLevel="0" collapsed="false">
      <c r="A35" s="18" t="n">
        <v>31</v>
      </c>
      <c r="B35" s="12" t="s">
        <v>141</v>
      </c>
      <c r="C35" s="12" t="s">
        <v>188</v>
      </c>
      <c r="D35" s="13" t="s">
        <v>189</v>
      </c>
      <c r="E35" s="13" t="s">
        <v>190</v>
      </c>
      <c r="F35" s="18" t="s">
        <v>56</v>
      </c>
      <c r="G35" s="13" t="s">
        <v>95</v>
      </c>
      <c r="H35" s="18" t="s">
        <v>96</v>
      </c>
    </row>
    <row r="36" customFormat="false" ht="36" hidden="false" customHeight="true" outlineLevel="0" collapsed="false">
      <c r="A36" s="19" t="n">
        <v>32</v>
      </c>
      <c r="B36" s="9" t="s">
        <v>141</v>
      </c>
      <c r="C36" s="9" t="s">
        <v>191</v>
      </c>
      <c r="D36" s="10" t="s">
        <v>192</v>
      </c>
      <c r="E36" s="10" t="s">
        <v>193</v>
      </c>
      <c r="F36" s="19" t="s">
        <v>50</v>
      </c>
      <c r="G36" s="10" t="s">
        <v>194</v>
      </c>
      <c r="H36" s="19" t="s">
        <v>96</v>
      </c>
    </row>
    <row r="37" customFormat="false" ht="36" hidden="false" customHeight="true" outlineLevel="0" collapsed="false">
      <c r="A37" s="18" t="n">
        <v>33</v>
      </c>
      <c r="B37" s="12" t="s">
        <v>195</v>
      </c>
      <c r="C37" s="12" t="s">
        <v>196</v>
      </c>
      <c r="D37" s="13" t="s">
        <v>197</v>
      </c>
      <c r="E37" s="13" t="s">
        <v>198</v>
      </c>
      <c r="F37" s="18" t="s">
        <v>50</v>
      </c>
      <c r="G37" s="13" t="s">
        <v>95</v>
      </c>
      <c r="H37" s="18" t="s">
        <v>199</v>
      </c>
    </row>
    <row r="38" customFormat="false" ht="36" hidden="false" customHeight="true" outlineLevel="0" collapsed="false">
      <c r="A38" s="19" t="n">
        <v>34</v>
      </c>
      <c r="B38" s="9" t="s">
        <v>195</v>
      </c>
      <c r="C38" s="9" t="s">
        <v>200</v>
      </c>
      <c r="D38" s="10" t="s">
        <v>201</v>
      </c>
      <c r="E38" s="10" t="s">
        <v>202</v>
      </c>
      <c r="F38" s="19" t="s">
        <v>50</v>
      </c>
      <c r="G38" s="10" t="s">
        <v>95</v>
      </c>
      <c r="H38" s="19" t="s">
        <v>199</v>
      </c>
    </row>
    <row r="39" customFormat="false" ht="36" hidden="false" customHeight="true" outlineLevel="0" collapsed="false">
      <c r="A39" s="18" t="n">
        <v>35</v>
      </c>
      <c r="B39" s="12" t="s">
        <v>195</v>
      </c>
      <c r="C39" s="12" t="s">
        <v>203</v>
      </c>
      <c r="D39" s="13" t="s">
        <v>204</v>
      </c>
      <c r="E39" s="13" t="s">
        <v>205</v>
      </c>
      <c r="F39" s="18" t="s">
        <v>56</v>
      </c>
      <c r="G39" s="13" t="s">
        <v>95</v>
      </c>
      <c r="H39" s="18" t="s">
        <v>199</v>
      </c>
    </row>
    <row r="40" customFormat="false" ht="36" hidden="false" customHeight="true" outlineLevel="0" collapsed="false">
      <c r="A40" s="19" t="n">
        <v>36</v>
      </c>
      <c r="B40" s="9" t="s">
        <v>195</v>
      </c>
      <c r="C40" s="9" t="s">
        <v>206</v>
      </c>
      <c r="D40" s="10" t="s">
        <v>207</v>
      </c>
      <c r="E40" s="10" t="s">
        <v>208</v>
      </c>
      <c r="F40" s="19" t="s">
        <v>50</v>
      </c>
      <c r="G40" s="10" t="s">
        <v>95</v>
      </c>
      <c r="H40" s="19" t="s">
        <v>199</v>
      </c>
    </row>
    <row r="41" customFormat="false" ht="36" hidden="false" customHeight="true" outlineLevel="0" collapsed="false">
      <c r="A41" s="18" t="n">
        <v>37</v>
      </c>
      <c r="B41" s="12" t="s">
        <v>195</v>
      </c>
      <c r="C41" s="12" t="s">
        <v>209</v>
      </c>
      <c r="D41" s="13" t="s">
        <v>210</v>
      </c>
      <c r="E41" s="13" t="s">
        <v>211</v>
      </c>
      <c r="F41" s="18" t="s">
        <v>50</v>
      </c>
      <c r="G41" s="13" t="s">
        <v>212</v>
      </c>
      <c r="H41" s="18" t="s">
        <v>199</v>
      </c>
    </row>
    <row r="42" customFormat="false" ht="36" hidden="false" customHeight="true" outlineLevel="0" collapsed="false">
      <c r="A42" s="19" t="n">
        <v>38</v>
      </c>
      <c r="B42" s="9" t="s">
        <v>195</v>
      </c>
      <c r="C42" s="9" t="s">
        <v>213</v>
      </c>
      <c r="D42" s="10" t="s">
        <v>214</v>
      </c>
      <c r="E42" s="10" t="s">
        <v>215</v>
      </c>
      <c r="F42" s="19" t="s">
        <v>50</v>
      </c>
      <c r="G42" s="10" t="s">
        <v>95</v>
      </c>
      <c r="H42" s="19" t="s">
        <v>199</v>
      </c>
    </row>
    <row r="43" customFormat="false" ht="36" hidden="false" customHeight="true" outlineLevel="0" collapsed="false">
      <c r="A43" s="18" t="n">
        <v>39</v>
      </c>
      <c r="B43" s="12" t="s">
        <v>195</v>
      </c>
      <c r="C43" s="12" t="s">
        <v>216</v>
      </c>
      <c r="D43" s="13" t="s">
        <v>217</v>
      </c>
      <c r="E43" s="13" t="s">
        <v>218</v>
      </c>
      <c r="F43" s="18" t="s">
        <v>44</v>
      </c>
      <c r="G43" s="13" t="s">
        <v>219</v>
      </c>
      <c r="H43" s="18" t="s">
        <v>199</v>
      </c>
    </row>
    <row r="44" customFormat="false" ht="36" hidden="false" customHeight="true" outlineLevel="0" collapsed="false">
      <c r="A44" s="19" t="n">
        <v>40</v>
      </c>
      <c r="B44" s="9" t="s">
        <v>195</v>
      </c>
      <c r="C44" s="9" t="s">
        <v>220</v>
      </c>
      <c r="D44" s="10" t="s">
        <v>221</v>
      </c>
      <c r="E44" s="10" t="s">
        <v>222</v>
      </c>
      <c r="F44" s="19" t="s">
        <v>56</v>
      </c>
      <c r="G44" s="10" t="s">
        <v>95</v>
      </c>
      <c r="H44" s="19" t="s">
        <v>199</v>
      </c>
    </row>
    <row r="45" customFormat="false" ht="36" hidden="false" customHeight="true" outlineLevel="0" collapsed="false">
      <c r="A45" s="18" t="n">
        <v>41</v>
      </c>
      <c r="B45" s="12" t="s">
        <v>195</v>
      </c>
      <c r="C45" s="12" t="s">
        <v>223</v>
      </c>
      <c r="D45" s="13" t="s">
        <v>224</v>
      </c>
      <c r="E45" s="13" t="s">
        <v>225</v>
      </c>
      <c r="F45" s="20" t="s">
        <v>226</v>
      </c>
      <c r="G45" s="13" t="s">
        <v>227</v>
      </c>
      <c r="H45" s="18" t="s">
        <v>199</v>
      </c>
    </row>
    <row r="46" customFormat="false" ht="36" hidden="false" customHeight="true" outlineLevel="0" collapsed="false">
      <c r="A46" s="19" t="n">
        <v>42</v>
      </c>
      <c r="B46" s="9" t="s">
        <v>195</v>
      </c>
      <c r="C46" s="9" t="s">
        <v>228</v>
      </c>
      <c r="D46" s="10" t="s">
        <v>229</v>
      </c>
      <c r="E46" s="10" t="s">
        <v>99</v>
      </c>
      <c r="F46" s="19" t="s">
        <v>100</v>
      </c>
      <c r="G46" s="10" t="s">
        <v>95</v>
      </c>
      <c r="H46" s="19" t="s">
        <v>199</v>
      </c>
    </row>
    <row r="47" customFormat="false" ht="36" hidden="false" customHeight="true" outlineLevel="0" collapsed="false">
      <c r="A47" s="18" t="n">
        <v>43</v>
      </c>
      <c r="B47" s="12" t="s">
        <v>195</v>
      </c>
      <c r="C47" s="12" t="s">
        <v>230</v>
      </c>
      <c r="D47" s="13" t="s">
        <v>231</v>
      </c>
      <c r="E47" s="13" t="s">
        <v>232</v>
      </c>
      <c r="F47" s="20" t="s">
        <v>226</v>
      </c>
      <c r="G47" s="13" t="s">
        <v>95</v>
      </c>
      <c r="H47" s="18" t="s">
        <v>199</v>
      </c>
    </row>
    <row r="48" customFormat="false" ht="36" hidden="false" customHeight="true" outlineLevel="0" collapsed="false">
      <c r="A48" s="19" t="n">
        <v>44</v>
      </c>
      <c r="B48" s="9" t="s">
        <v>195</v>
      </c>
      <c r="C48" s="9" t="s">
        <v>233</v>
      </c>
      <c r="D48" s="10" t="s">
        <v>234</v>
      </c>
      <c r="E48" s="10" t="s">
        <v>235</v>
      </c>
      <c r="F48" s="19" t="s">
        <v>50</v>
      </c>
      <c r="G48" s="10" t="s">
        <v>95</v>
      </c>
      <c r="H48" s="19" t="s">
        <v>199</v>
      </c>
    </row>
    <row r="49" customFormat="false" ht="36" hidden="false" customHeight="true" outlineLevel="0" collapsed="false">
      <c r="A49" s="18" t="n">
        <v>45</v>
      </c>
      <c r="B49" s="12" t="s">
        <v>195</v>
      </c>
      <c r="C49" s="12" t="s">
        <v>236</v>
      </c>
      <c r="D49" s="13" t="s">
        <v>237</v>
      </c>
      <c r="E49" s="13" t="s">
        <v>238</v>
      </c>
      <c r="F49" s="18" t="s">
        <v>50</v>
      </c>
      <c r="G49" s="13" t="s">
        <v>95</v>
      </c>
      <c r="H49" s="18" t="s">
        <v>199</v>
      </c>
    </row>
    <row r="50" customFormat="false" ht="36" hidden="false" customHeight="true" outlineLevel="0" collapsed="false">
      <c r="A50" s="19" t="n">
        <v>46</v>
      </c>
      <c r="B50" s="9" t="s">
        <v>195</v>
      </c>
      <c r="C50" s="9" t="s">
        <v>239</v>
      </c>
      <c r="D50" s="10" t="s">
        <v>240</v>
      </c>
      <c r="E50" s="10" t="s">
        <v>241</v>
      </c>
      <c r="F50" s="19" t="s">
        <v>56</v>
      </c>
      <c r="G50" s="10" t="s">
        <v>95</v>
      </c>
      <c r="H50" s="19" t="s">
        <v>199</v>
      </c>
    </row>
    <row r="51" customFormat="false" ht="36" hidden="false" customHeight="true" outlineLevel="0" collapsed="false">
      <c r="A51" s="18" t="n">
        <v>47</v>
      </c>
      <c r="B51" s="12" t="s">
        <v>195</v>
      </c>
      <c r="C51" s="12" t="s">
        <v>242</v>
      </c>
      <c r="D51" s="13" t="s">
        <v>243</v>
      </c>
      <c r="E51" s="13" t="s">
        <v>99</v>
      </c>
      <c r="F51" s="18" t="s">
        <v>100</v>
      </c>
      <c r="G51" s="13" t="s">
        <v>95</v>
      </c>
      <c r="H51" s="18" t="s">
        <v>199</v>
      </c>
    </row>
    <row r="52" customFormat="false" ht="36" hidden="false" customHeight="true" outlineLevel="0" collapsed="false">
      <c r="A52" s="19" t="n">
        <v>48</v>
      </c>
      <c r="B52" s="9" t="s">
        <v>244</v>
      </c>
      <c r="C52" s="9" t="s">
        <v>245</v>
      </c>
      <c r="D52" s="10" t="s">
        <v>246</v>
      </c>
      <c r="E52" s="10" t="s">
        <v>247</v>
      </c>
      <c r="F52" s="19" t="s">
        <v>44</v>
      </c>
      <c r="G52" s="10" t="s">
        <v>95</v>
      </c>
      <c r="H52" s="19" t="s">
        <v>96</v>
      </c>
    </row>
    <row r="53" customFormat="false" ht="36" hidden="false" customHeight="true" outlineLevel="0" collapsed="false">
      <c r="A53" s="18" t="n">
        <v>49</v>
      </c>
      <c r="B53" s="12" t="s">
        <v>244</v>
      </c>
      <c r="C53" s="12" t="s">
        <v>248</v>
      </c>
      <c r="D53" s="13" t="s">
        <v>249</v>
      </c>
      <c r="E53" s="13" t="s">
        <v>250</v>
      </c>
      <c r="F53" s="18" t="s">
        <v>50</v>
      </c>
      <c r="G53" s="13" t="s">
        <v>95</v>
      </c>
      <c r="H53" s="18" t="s">
        <v>96</v>
      </c>
    </row>
    <row r="54" customFormat="false" ht="36" hidden="false" customHeight="true" outlineLevel="0" collapsed="false">
      <c r="A54" s="19" t="n">
        <v>50</v>
      </c>
      <c r="B54" s="9" t="s">
        <v>244</v>
      </c>
      <c r="C54" s="9" t="s">
        <v>251</v>
      </c>
      <c r="D54" s="10" t="s">
        <v>252</v>
      </c>
      <c r="E54" s="10" t="s">
        <v>253</v>
      </c>
      <c r="F54" s="19" t="s">
        <v>50</v>
      </c>
      <c r="G54" s="10" t="s">
        <v>95</v>
      </c>
      <c r="H54" s="19" t="s">
        <v>96</v>
      </c>
    </row>
    <row r="55" customFormat="false" ht="36" hidden="false" customHeight="true" outlineLevel="0" collapsed="false">
      <c r="A55" s="18" t="n">
        <v>51</v>
      </c>
      <c r="B55" s="12" t="s">
        <v>244</v>
      </c>
      <c r="C55" s="12" t="s">
        <v>254</v>
      </c>
      <c r="D55" s="13" t="s">
        <v>255</v>
      </c>
      <c r="E55" s="13" t="s">
        <v>256</v>
      </c>
      <c r="F55" s="20" t="s">
        <v>226</v>
      </c>
      <c r="G55" s="13" t="s">
        <v>95</v>
      </c>
      <c r="H55" s="18" t="s">
        <v>96</v>
      </c>
    </row>
    <row r="56" customFormat="false" ht="36" hidden="false" customHeight="true" outlineLevel="0" collapsed="false">
      <c r="A56" s="19" t="n">
        <v>52</v>
      </c>
      <c r="B56" s="9" t="s">
        <v>244</v>
      </c>
      <c r="C56" s="9" t="s">
        <v>257</v>
      </c>
      <c r="D56" s="10" t="s">
        <v>258</v>
      </c>
      <c r="E56" s="10" t="s">
        <v>259</v>
      </c>
      <c r="F56" s="20" t="s">
        <v>226</v>
      </c>
      <c r="G56" s="10" t="s">
        <v>95</v>
      </c>
      <c r="H56" s="19" t="s">
        <v>96</v>
      </c>
    </row>
    <row r="57" customFormat="false" ht="36" hidden="false" customHeight="true" outlineLevel="0" collapsed="false">
      <c r="A57" s="18" t="n">
        <v>53</v>
      </c>
      <c r="B57" s="12" t="s">
        <v>244</v>
      </c>
      <c r="C57" s="12" t="s">
        <v>260</v>
      </c>
      <c r="D57" s="13" t="s">
        <v>261</v>
      </c>
      <c r="E57" s="13" t="s">
        <v>262</v>
      </c>
      <c r="F57" s="18" t="s">
        <v>50</v>
      </c>
      <c r="G57" s="13" t="s">
        <v>95</v>
      </c>
      <c r="H57" s="18" t="s">
        <v>199</v>
      </c>
    </row>
    <row r="58" customFormat="false" ht="36" hidden="false" customHeight="true" outlineLevel="0" collapsed="false">
      <c r="A58" s="19" t="n">
        <v>54</v>
      </c>
      <c r="B58" s="9" t="s">
        <v>244</v>
      </c>
      <c r="C58" s="9" t="s">
        <v>263</v>
      </c>
      <c r="D58" s="10" t="s">
        <v>264</v>
      </c>
      <c r="E58" s="10" t="s">
        <v>265</v>
      </c>
      <c r="F58" s="19" t="s">
        <v>50</v>
      </c>
      <c r="G58" s="10" t="s">
        <v>95</v>
      </c>
      <c r="H58" s="19" t="s">
        <v>199</v>
      </c>
    </row>
    <row r="59" customFormat="false" ht="36" hidden="false" customHeight="true" outlineLevel="0" collapsed="false">
      <c r="A59" s="18" t="n">
        <v>55</v>
      </c>
      <c r="B59" s="12" t="s">
        <v>244</v>
      </c>
      <c r="C59" s="12" t="s">
        <v>266</v>
      </c>
      <c r="D59" s="13" t="s">
        <v>267</v>
      </c>
      <c r="E59" s="13" t="s">
        <v>268</v>
      </c>
      <c r="F59" s="20" t="s">
        <v>226</v>
      </c>
      <c r="G59" s="13" t="s">
        <v>95</v>
      </c>
      <c r="H59" s="18" t="s">
        <v>96</v>
      </c>
    </row>
    <row r="60" customFormat="false" ht="36" hidden="false" customHeight="true" outlineLevel="0" collapsed="false">
      <c r="A60" s="19" t="n">
        <v>56</v>
      </c>
      <c r="B60" s="9" t="s">
        <v>244</v>
      </c>
      <c r="C60" s="9" t="s">
        <v>269</v>
      </c>
      <c r="D60" s="10" t="s">
        <v>270</v>
      </c>
      <c r="E60" s="10" t="s">
        <v>271</v>
      </c>
      <c r="F60" s="19" t="s">
        <v>44</v>
      </c>
      <c r="G60" s="10" t="s">
        <v>95</v>
      </c>
      <c r="H60" s="19" t="s">
        <v>96</v>
      </c>
    </row>
    <row r="61" customFormat="false" ht="36" hidden="false" customHeight="true" outlineLevel="0" collapsed="false">
      <c r="A61" s="18" t="n">
        <v>57</v>
      </c>
      <c r="B61" s="12" t="s">
        <v>244</v>
      </c>
      <c r="C61" s="12" t="s">
        <v>272</v>
      </c>
      <c r="D61" s="13" t="s">
        <v>273</v>
      </c>
      <c r="E61" s="13" t="s">
        <v>274</v>
      </c>
      <c r="F61" s="18" t="s">
        <v>56</v>
      </c>
      <c r="G61" s="13" t="s">
        <v>95</v>
      </c>
      <c r="H61" s="18" t="s">
        <v>199</v>
      </c>
    </row>
    <row r="62" customFormat="false" ht="36" hidden="false" customHeight="true" outlineLevel="0" collapsed="false">
      <c r="A62" s="19" t="n">
        <v>58</v>
      </c>
      <c r="B62" s="9" t="s">
        <v>244</v>
      </c>
      <c r="C62" s="9" t="s">
        <v>275</v>
      </c>
      <c r="D62" s="10" t="s">
        <v>276</v>
      </c>
      <c r="E62" s="10" t="s">
        <v>277</v>
      </c>
      <c r="F62" s="19" t="s">
        <v>50</v>
      </c>
      <c r="G62" s="10" t="s">
        <v>95</v>
      </c>
      <c r="H62" s="19" t="s">
        <v>96</v>
      </c>
    </row>
    <row r="63" customFormat="false" ht="36" hidden="false" customHeight="true" outlineLevel="0" collapsed="false">
      <c r="A63" s="18" t="n">
        <v>59</v>
      </c>
      <c r="B63" s="12" t="s">
        <v>244</v>
      </c>
      <c r="C63" s="12" t="s">
        <v>278</v>
      </c>
      <c r="D63" s="13" t="s">
        <v>279</v>
      </c>
      <c r="E63" s="13" t="s">
        <v>99</v>
      </c>
      <c r="F63" s="18" t="s">
        <v>100</v>
      </c>
      <c r="G63" s="13" t="s">
        <v>95</v>
      </c>
      <c r="H63" s="18" t="s">
        <v>199</v>
      </c>
    </row>
    <row r="64" customFormat="false" ht="36" hidden="false" customHeight="true" outlineLevel="0" collapsed="false">
      <c r="A64" s="19" t="n">
        <v>60</v>
      </c>
      <c r="B64" s="9" t="s">
        <v>244</v>
      </c>
      <c r="C64" s="9" t="s">
        <v>280</v>
      </c>
      <c r="D64" s="10" t="s">
        <v>281</v>
      </c>
      <c r="E64" s="10" t="s">
        <v>282</v>
      </c>
      <c r="F64" s="19" t="s">
        <v>50</v>
      </c>
      <c r="G64" s="10" t="s">
        <v>95</v>
      </c>
      <c r="H64" s="19" t="s">
        <v>283</v>
      </c>
    </row>
    <row r="65" customFormat="false" ht="36" hidden="false" customHeight="true" outlineLevel="0" collapsed="false">
      <c r="A65" s="18" t="n">
        <v>61</v>
      </c>
      <c r="B65" s="12" t="s">
        <v>284</v>
      </c>
      <c r="C65" s="12" t="s">
        <v>285</v>
      </c>
      <c r="D65" s="13" t="s">
        <v>286</v>
      </c>
      <c r="E65" s="13" t="s">
        <v>287</v>
      </c>
      <c r="F65" s="18" t="s">
        <v>50</v>
      </c>
      <c r="G65" s="13" t="s">
        <v>288</v>
      </c>
      <c r="H65" s="18" t="s">
        <v>96</v>
      </c>
    </row>
    <row r="66" customFormat="false" ht="36" hidden="false" customHeight="true" outlineLevel="0" collapsed="false">
      <c r="A66" s="19" t="n">
        <v>62</v>
      </c>
      <c r="B66" s="9" t="s">
        <v>284</v>
      </c>
      <c r="C66" s="9" t="s">
        <v>289</v>
      </c>
      <c r="D66" s="10" t="s">
        <v>290</v>
      </c>
      <c r="E66" s="10" t="s">
        <v>291</v>
      </c>
      <c r="F66" s="19" t="s">
        <v>50</v>
      </c>
      <c r="G66" s="10" t="s">
        <v>95</v>
      </c>
      <c r="H66" s="19" t="s">
        <v>96</v>
      </c>
    </row>
    <row r="67" customFormat="false" ht="36" hidden="false" customHeight="true" outlineLevel="0" collapsed="false">
      <c r="A67" s="18" t="n">
        <v>63</v>
      </c>
      <c r="B67" s="12" t="s">
        <v>284</v>
      </c>
      <c r="C67" s="12" t="s">
        <v>292</v>
      </c>
      <c r="D67" s="13" t="s">
        <v>293</v>
      </c>
      <c r="E67" s="13" t="s">
        <v>294</v>
      </c>
      <c r="F67" s="18" t="s">
        <v>50</v>
      </c>
      <c r="G67" s="13" t="s">
        <v>95</v>
      </c>
      <c r="H67" s="18" t="s">
        <v>96</v>
      </c>
    </row>
    <row r="68" customFormat="false" ht="36" hidden="false" customHeight="true" outlineLevel="0" collapsed="false">
      <c r="A68" s="19" t="n">
        <v>64</v>
      </c>
      <c r="B68" s="9" t="s">
        <v>284</v>
      </c>
      <c r="C68" s="9" t="s">
        <v>295</v>
      </c>
      <c r="D68" s="10" t="s">
        <v>296</v>
      </c>
      <c r="E68" s="10" t="s">
        <v>297</v>
      </c>
      <c r="F68" s="19" t="s">
        <v>50</v>
      </c>
      <c r="G68" s="10" t="s">
        <v>95</v>
      </c>
      <c r="H68" s="19" t="s">
        <v>96</v>
      </c>
    </row>
    <row r="69" customFormat="false" ht="36" hidden="false" customHeight="true" outlineLevel="0" collapsed="false">
      <c r="A69" s="18" t="n">
        <v>65</v>
      </c>
      <c r="B69" s="12" t="s">
        <v>284</v>
      </c>
      <c r="C69" s="12" t="s">
        <v>298</v>
      </c>
      <c r="D69" s="13" t="s">
        <v>299</v>
      </c>
      <c r="E69" s="13" t="s">
        <v>300</v>
      </c>
      <c r="F69" s="18" t="s">
        <v>50</v>
      </c>
      <c r="G69" s="13" t="s">
        <v>301</v>
      </c>
      <c r="H69" s="18" t="s">
        <v>96</v>
      </c>
    </row>
    <row r="70" customFormat="false" ht="36" hidden="false" customHeight="true" outlineLevel="0" collapsed="false">
      <c r="A70" s="19" t="n">
        <v>66</v>
      </c>
      <c r="B70" s="9" t="s">
        <v>284</v>
      </c>
      <c r="C70" s="9" t="s">
        <v>302</v>
      </c>
      <c r="D70" s="10" t="s">
        <v>303</v>
      </c>
      <c r="E70" s="10" t="s">
        <v>304</v>
      </c>
      <c r="F70" s="19" t="s">
        <v>44</v>
      </c>
      <c r="G70" s="10" t="s">
        <v>95</v>
      </c>
      <c r="H70" s="19" t="s">
        <v>199</v>
      </c>
    </row>
    <row r="71" customFormat="false" ht="36" hidden="false" customHeight="true" outlineLevel="0" collapsed="false">
      <c r="A71" s="18" t="n">
        <v>67</v>
      </c>
      <c r="B71" s="12" t="s">
        <v>284</v>
      </c>
      <c r="C71" s="12" t="s">
        <v>305</v>
      </c>
      <c r="D71" s="13" t="s">
        <v>306</v>
      </c>
      <c r="E71" s="13" t="s">
        <v>307</v>
      </c>
      <c r="F71" s="18" t="s">
        <v>50</v>
      </c>
      <c r="G71" s="13" t="s">
        <v>95</v>
      </c>
      <c r="H71" s="18" t="s">
        <v>96</v>
      </c>
    </row>
    <row r="72" customFormat="false" ht="36" hidden="false" customHeight="true" outlineLevel="0" collapsed="false">
      <c r="A72" s="19" t="n">
        <v>68</v>
      </c>
      <c r="B72" s="9" t="s">
        <v>284</v>
      </c>
      <c r="C72" s="9" t="s">
        <v>308</v>
      </c>
      <c r="D72" s="10" t="s">
        <v>309</v>
      </c>
      <c r="E72" s="10" t="s">
        <v>310</v>
      </c>
      <c r="F72" s="19" t="s">
        <v>100</v>
      </c>
      <c r="G72" s="10" t="s">
        <v>95</v>
      </c>
      <c r="H72" s="19" t="s">
        <v>96</v>
      </c>
    </row>
    <row r="73" customFormat="false" ht="36" hidden="false" customHeight="true" outlineLevel="0" collapsed="false">
      <c r="A73" s="18" t="n">
        <v>69</v>
      </c>
      <c r="B73" s="12" t="s">
        <v>284</v>
      </c>
      <c r="C73" s="12" t="s">
        <v>311</v>
      </c>
      <c r="D73" s="13" t="s">
        <v>312</v>
      </c>
      <c r="E73" s="13" t="s">
        <v>313</v>
      </c>
      <c r="F73" s="18" t="s">
        <v>50</v>
      </c>
      <c r="G73" s="13" t="s">
        <v>95</v>
      </c>
      <c r="H73" s="18" t="s">
        <v>96</v>
      </c>
    </row>
    <row r="74" customFormat="false" ht="36" hidden="false" customHeight="true" outlineLevel="0" collapsed="false">
      <c r="A74" s="19" t="n">
        <v>70</v>
      </c>
      <c r="B74" s="9" t="s">
        <v>284</v>
      </c>
      <c r="C74" s="9" t="s">
        <v>314</v>
      </c>
      <c r="D74" s="10" t="s">
        <v>315</v>
      </c>
      <c r="E74" s="10" t="s">
        <v>310</v>
      </c>
      <c r="F74" s="19" t="s">
        <v>100</v>
      </c>
      <c r="G74" s="10" t="s">
        <v>95</v>
      </c>
      <c r="H74" s="19" t="s">
        <v>96</v>
      </c>
    </row>
    <row r="75" customFormat="false" ht="36" hidden="false" customHeight="true" outlineLevel="0" collapsed="false">
      <c r="A75" s="18" t="n">
        <v>71</v>
      </c>
      <c r="B75" s="12" t="s">
        <v>284</v>
      </c>
      <c r="C75" s="12" t="s">
        <v>316</v>
      </c>
      <c r="D75" s="13" t="s">
        <v>317</v>
      </c>
      <c r="E75" s="13" t="s">
        <v>318</v>
      </c>
      <c r="F75" s="18" t="s">
        <v>50</v>
      </c>
      <c r="G75" s="13" t="s">
        <v>95</v>
      </c>
      <c r="H75" s="18" t="s">
        <v>199</v>
      </c>
    </row>
    <row r="76" customFormat="false" ht="36" hidden="false" customHeight="true" outlineLevel="0" collapsed="false">
      <c r="A76" s="19" t="n">
        <v>72</v>
      </c>
      <c r="B76" s="9" t="s">
        <v>284</v>
      </c>
      <c r="C76" s="9" t="s">
        <v>319</v>
      </c>
      <c r="D76" s="10" t="s">
        <v>320</v>
      </c>
      <c r="E76" s="10" t="s">
        <v>321</v>
      </c>
      <c r="F76" s="19" t="s">
        <v>56</v>
      </c>
      <c r="G76" s="10" t="s">
        <v>95</v>
      </c>
      <c r="H76" s="19" t="s">
        <v>96</v>
      </c>
    </row>
    <row r="77" customFormat="false" ht="36" hidden="false" customHeight="true" outlineLevel="0" collapsed="false">
      <c r="A77" s="18" t="n">
        <v>73</v>
      </c>
      <c r="B77" s="12" t="s">
        <v>322</v>
      </c>
      <c r="C77" s="12" t="s">
        <v>323</v>
      </c>
      <c r="D77" s="13" t="s">
        <v>324</v>
      </c>
      <c r="E77" s="13" t="s">
        <v>325</v>
      </c>
      <c r="F77" s="18" t="s">
        <v>50</v>
      </c>
      <c r="G77" s="13" t="s">
        <v>95</v>
      </c>
      <c r="H77" s="18" t="s">
        <v>96</v>
      </c>
    </row>
    <row r="78" customFormat="false" ht="36" hidden="false" customHeight="true" outlineLevel="0" collapsed="false">
      <c r="A78" s="19" t="n">
        <v>74</v>
      </c>
      <c r="B78" s="9" t="s">
        <v>322</v>
      </c>
      <c r="C78" s="9" t="s">
        <v>326</v>
      </c>
      <c r="D78" s="10" t="s">
        <v>327</v>
      </c>
      <c r="E78" s="10" t="s">
        <v>328</v>
      </c>
      <c r="F78" s="19" t="s">
        <v>56</v>
      </c>
      <c r="G78" s="10" t="s">
        <v>329</v>
      </c>
      <c r="H78" s="19" t="s">
        <v>96</v>
      </c>
    </row>
    <row r="79" customFormat="false" ht="36" hidden="false" customHeight="true" outlineLevel="0" collapsed="false">
      <c r="A79" s="18" t="n">
        <v>75</v>
      </c>
      <c r="B79" s="12" t="s">
        <v>322</v>
      </c>
      <c r="C79" s="12" t="s">
        <v>330</v>
      </c>
      <c r="D79" s="13" t="s">
        <v>331</v>
      </c>
      <c r="E79" s="13" t="s">
        <v>332</v>
      </c>
      <c r="F79" s="18" t="s">
        <v>50</v>
      </c>
      <c r="G79" s="13" t="s">
        <v>95</v>
      </c>
      <c r="H79" s="18" t="s">
        <v>96</v>
      </c>
    </row>
    <row r="80" customFormat="false" ht="36" hidden="false" customHeight="true" outlineLevel="0" collapsed="false">
      <c r="A80" s="19" t="n">
        <v>76</v>
      </c>
      <c r="B80" s="9" t="s">
        <v>322</v>
      </c>
      <c r="C80" s="9" t="s">
        <v>333</v>
      </c>
      <c r="D80" s="10" t="s">
        <v>334</v>
      </c>
      <c r="E80" s="10" t="s">
        <v>335</v>
      </c>
      <c r="F80" s="19" t="s">
        <v>44</v>
      </c>
      <c r="G80" s="10" t="s">
        <v>95</v>
      </c>
      <c r="H80" s="19" t="s">
        <v>96</v>
      </c>
    </row>
    <row r="81" customFormat="false" ht="36" hidden="false" customHeight="true" outlineLevel="0" collapsed="false">
      <c r="A81" s="18" t="n">
        <v>77</v>
      </c>
      <c r="B81" s="12" t="s">
        <v>322</v>
      </c>
      <c r="C81" s="12" t="s">
        <v>336</v>
      </c>
      <c r="D81" s="13" t="s">
        <v>337</v>
      </c>
      <c r="E81" s="13" t="s">
        <v>338</v>
      </c>
      <c r="F81" s="18" t="s">
        <v>56</v>
      </c>
      <c r="G81" s="13" t="s">
        <v>95</v>
      </c>
      <c r="H81" s="18" t="s">
        <v>96</v>
      </c>
    </row>
    <row r="82" customFormat="false" ht="36" hidden="false" customHeight="true" outlineLevel="0" collapsed="false">
      <c r="A82" s="19" t="n">
        <v>78</v>
      </c>
      <c r="B82" s="9" t="s">
        <v>322</v>
      </c>
      <c r="C82" s="9" t="s">
        <v>339</v>
      </c>
      <c r="D82" s="10" t="s">
        <v>340</v>
      </c>
      <c r="E82" s="10" t="s">
        <v>341</v>
      </c>
      <c r="F82" s="19" t="s">
        <v>50</v>
      </c>
      <c r="G82" s="10" t="s">
        <v>95</v>
      </c>
      <c r="H82" s="19" t="s">
        <v>96</v>
      </c>
    </row>
    <row r="83" customFormat="false" ht="36" hidden="false" customHeight="true" outlineLevel="0" collapsed="false">
      <c r="A83" s="18" t="n">
        <v>79</v>
      </c>
      <c r="B83" s="12" t="s">
        <v>322</v>
      </c>
      <c r="C83" s="12" t="s">
        <v>342</v>
      </c>
      <c r="D83" s="13" t="s">
        <v>343</v>
      </c>
      <c r="E83" s="13" t="s">
        <v>344</v>
      </c>
      <c r="F83" s="18" t="s">
        <v>50</v>
      </c>
      <c r="G83" s="13" t="s">
        <v>95</v>
      </c>
      <c r="H83" s="18" t="s">
        <v>199</v>
      </c>
    </row>
    <row r="84" customFormat="false" ht="36" hidden="false" customHeight="true" outlineLevel="0" collapsed="false">
      <c r="A84" s="19" t="n">
        <v>80</v>
      </c>
      <c r="B84" s="9" t="s">
        <v>322</v>
      </c>
      <c r="C84" s="9" t="s">
        <v>345</v>
      </c>
      <c r="D84" s="10" t="s">
        <v>346</v>
      </c>
      <c r="E84" s="10" t="s">
        <v>347</v>
      </c>
      <c r="F84" s="19" t="s">
        <v>50</v>
      </c>
      <c r="G84" s="10" t="s">
        <v>95</v>
      </c>
      <c r="H84" s="19" t="s">
        <v>199</v>
      </c>
    </row>
    <row r="85" customFormat="false" ht="36" hidden="false" customHeight="true" outlineLevel="0" collapsed="false">
      <c r="A85" s="18" t="n">
        <v>81</v>
      </c>
      <c r="B85" s="12" t="s">
        <v>322</v>
      </c>
      <c r="C85" s="12" t="s">
        <v>348</v>
      </c>
      <c r="D85" s="13" t="s">
        <v>349</v>
      </c>
      <c r="E85" s="13" t="s">
        <v>350</v>
      </c>
      <c r="F85" s="18" t="s">
        <v>50</v>
      </c>
      <c r="G85" s="13" t="s">
        <v>95</v>
      </c>
      <c r="H85" s="18" t="s">
        <v>199</v>
      </c>
    </row>
    <row r="86" customFormat="false" ht="36" hidden="false" customHeight="true" outlineLevel="0" collapsed="false">
      <c r="A86" s="19" t="n">
        <v>82</v>
      </c>
      <c r="B86" s="9" t="s">
        <v>322</v>
      </c>
      <c r="C86" s="9" t="s">
        <v>351</v>
      </c>
      <c r="D86" s="10" t="s">
        <v>352</v>
      </c>
      <c r="E86" s="10" t="s">
        <v>353</v>
      </c>
      <c r="F86" s="19" t="s">
        <v>50</v>
      </c>
      <c r="G86" s="10" t="s">
        <v>95</v>
      </c>
      <c r="H86" s="19" t="s">
        <v>199</v>
      </c>
    </row>
    <row r="87" customFormat="false" ht="36" hidden="false" customHeight="true" outlineLevel="0" collapsed="false">
      <c r="A87" s="18" t="n">
        <v>83</v>
      </c>
      <c r="B87" s="12" t="s">
        <v>322</v>
      </c>
      <c r="C87" s="12" t="s">
        <v>354</v>
      </c>
      <c r="D87" s="13" t="s">
        <v>355</v>
      </c>
      <c r="E87" s="13" t="s">
        <v>356</v>
      </c>
      <c r="F87" s="18" t="s">
        <v>56</v>
      </c>
      <c r="G87" s="13" t="s">
        <v>95</v>
      </c>
      <c r="H87" s="18" t="s">
        <v>199</v>
      </c>
    </row>
    <row r="88" customFormat="false" ht="36" hidden="false" customHeight="true" outlineLevel="0" collapsed="false">
      <c r="A88" s="19" t="n">
        <v>84</v>
      </c>
      <c r="B88" s="9" t="s">
        <v>322</v>
      </c>
      <c r="C88" s="9" t="s">
        <v>357</v>
      </c>
      <c r="D88" s="10" t="s">
        <v>358</v>
      </c>
      <c r="E88" s="10" t="s">
        <v>359</v>
      </c>
      <c r="F88" s="19" t="s">
        <v>56</v>
      </c>
      <c r="G88" s="10" t="s">
        <v>95</v>
      </c>
      <c r="H88" s="19" t="s">
        <v>96</v>
      </c>
    </row>
    <row r="89" customFormat="false" ht="36" hidden="false" customHeight="true" outlineLevel="0" collapsed="false">
      <c r="A89" s="18" t="n">
        <v>85</v>
      </c>
      <c r="B89" s="12" t="s">
        <v>360</v>
      </c>
      <c r="C89" s="12" t="s">
        <v>361</v>
      </c>
      <c r="D89" s="13" t="s">
        <v>362</v>
      </c>
      <c r="E89" s="13" t="s">
        <v>363</v>
      </c>
      <c r="F89" s="18" t="s">
        <v>100</v>
      </c>
      <c r="G89" s="13" t="s">
        <v>364</v>
      </c>
      <c r="H89" s="18" t="s">
        <v>96</v>
      </c>
    </row>
    <row r="90" customFormat="false" ht="36" hidden="false" customHeight="true" outlineLevel="0" collapsed="false">
      <c r="A90" s="19" t="n">
        <v>86</v>
      </c>
      <c r="B90" s="9" t="s">
        <v>360</v>
      </c>
      <c r="C90" s="9" t="s">
        <v>365</v>
      </c>
      <c r="D90" s="10" t="s">
        <v>366</v>
      </c>
      <c r="E90" s="10" t="s">
        <v>367</v>
      </c>
      <c r="F90" s="19" t="s">
        <v>50</v>
      </c>
      <c r="G90" s="10" t="s">
        <v>95</v>
      </c>
      <c r="H90" s="19" t="s">
        <v>96</v>
      </c>
    </row>
    <row r="91" customFormat="false" ht="36" hidden="false" customHeight="true" outlineLevel="0" collapsed="false">
      <c r="A91" s="18" t="n">
        <v>87</v>
      </c>
      <c r="B91" s="12" t="s">
        <v>360</v>
      </c>
      <c r="C91" s="12" t="s">
        <v>368</v>
      </c>
      <c r="D91" s="13" t="s">
        <v>369</v>
      </c>
      <c r="E91" s="13" t="s">
        <v>370</v>
      </c>
      <c r="F91" s="18" t="s">
        <v>50</v>
      </c>
      <c r="G91" s="13" t="s">
        <v>95</v>
      </c>
      <c r="H91" s="18" t="s">
        <v>96</v>
      </c>
    </row>
    <row r="92" customFormat="false" ht="36" hidden="false" customHeight="true" outlineLevel="0" collapsed="false">
      <c r="A92" s="19" t="n">
        <v>88</v>
      </c>
      <c r="B92" s="9" t="s">
        <v>360</v>
      </c>
      <c r="C92" s="9" t="s">
        <v>371</v>
      </c>
      <c r="D92" s="10" t="s">
        <v>372</v>
      </c>
      <c r="E92" s="10" t="s">
        <v>373</v>
      </c>
      <c r="F92" s="19" t="s">
        <v>100</v>
      </c>
      <c r="G92" s="10" t="s">
        <v>95</v>
      </c>
      <c r="H92" s="19" t="s">
        <v>96</v>
      </c>
    </row>
    <row r="93" customFormat="false" ht="36" hidden="false" customHeight="true" outlineLevel="0" collapsed="false">
      <c r="A93" s="18" t="n">
        <v>89</v>
      </c>
      <c r="B93" s="12" t="s">
        <v>360</v>
      </c>
      <c r="C93" s="12" t="s">
        <v>374</v>
      </c>
      <c r="D93" s="13" t="s">
        <v>375</v>
      </c>
      <c r="E93" s="13" t="s">
        <v>376</v>
      </c>
      <c r="F93" s="18" t="s">
        <v>56</v>
      </c>
      <c r="G93" s="13" t="s">
        <v>377</v>
      </c>
      <c r="H93" s="18" t="s">
        <v>96</v>
      </c>
    </row>
    <row r="94" customFormat="false" ht="36" hidden="false" customHeight="true" outlineLevel="0" collapsed="false">
      <c r="A94" s="19" t="n">
        <v>90</v>
      </c>
      <c r="B94" s="9" t="s">
        <v>360</v>
      </c>
      <c r="C94" s="9" t="s">
        <v>378</v>
      </c>
      <c r="D94" s="10" t="s">
        <v>379</v>
      </c>
      <c r="E94" s="10" t="s">
        <v>380</v>
      </c>
      <c r="F94" s="19" t="s">
        <v>50</v>
      </c>
      <c r="G94" s="10" t="s">
        <v>95</v>
      </c>
      <c r="H94" s="19" t="s">
        <v>96</v>
      </c>
    </row>
    <row r="95" customFormat="false" ht="36" hidden="false" customHeight="true" outlineLevel="0" collapsed="false">
      <c r="A95" s="18" t="n">
        <v>91</v>
      </c>
      <c r="B95" s="12" t="s">
        <v>360</v>
      </c>
      <c r="C95" s="12" t="s">
        <v>381</v>
      </c>
      <c r="D95" s="13" t="s">
        <v>382</v>
      </c>
      <c r="E95" s="13" t="s">
        <v>99</v>
      </c>
      <c r="F95" s="18" t="s">
        <v>100</v>
      </c>
      <c r="G95" s="13" t="s">
        <v>95</v>
      </c>
      <c r="H95" s="18" t="s">
        <v>96</v>
      </c>
    </row>
    <row r="96" customFormat="false" ht="36" hidden="false" customHeight="true" outlineLevel="0" collapsed="false">
      <c r="A96" s="19" t="n">
        <v>92</v>
      </c>
      <c r="B96" s="9" t="s">
        <v>360</v>
      </c>
      <c r="C96" s="9" t="s">
        <v>383</v>
      </c>
      <c r="D96" s="10" t="s">
        <v>384</v>
      </c>
      <c r="E96" s="10" t="s">
        <v>385</v>
      </c>
      <c r="F96" s="19" t="s">
        <v>50</v>
      </c>
      <c r="G96" s="10" t="s">
        <v>95</v>
      </c>
      <c r="H96" s="19" t="s">
        <v>96</v>
      </c>
    </row>
    <row r="97" customFormat="false" ht="36" hidden="false" customHeight="true" outlineLevel="0" collapsed="false">
      <c r="A97" s="18" t="n">
        <v>93</v>
      </c>
      <c r="B97" s="12" t="s">
        <v>360</v>
      </c>
      <c r="C97" s="12" t="s">
        <v>386</v>
      </c>
      <c r="D97" s="13" t="s">
        <v>387</v>
      </c>
      <c r="E97" s="13" t="s">
        <v>388</v>
      </c>
      <c r="F97" s="18" t="s">
        <v>56</v>
      </c>
      <c r="G97" s="13" t="s">
        <v>95</v>
      </c>
      <c r="H97" s="18" t="s">
        <v>96</v>
      </c>
    </row>
    <row r="98" customFormat="false" ht="36" hidden="false" customHeight="true" outlineLevel="0" collapsed="false">
      <c r="A98" s="19" t="n">
        <v>94</v>
      </c>
      <c r="B98" s="9" t="s">
        <v>360</v>
      </c>
      <c r="C98" s="9" t="s">
        <v>389</v>
      </c>
      <c r="D98" s="10" t="s">
        <v>390</v>
      </c>
      <c r="E98" s="10" t="s">
        <v>391</v>
      </c>
      <c r="F98" s="19" t="s">
        <v>50</v>
      </c>
      <c r="G98" s="10" t="s">
        <v>392</v>
      </c>
      <c r="H98" s="19" t="s">
        <v>96</v>
      </c>
    </row>
    <row r="99" customFormat="false" ht="36" hidden="false" customHeight="true" outlineLevel="0" collapsed="false">
      <c r="A99" s="18" t="n">
        <v>95</v>
      </c>
      <c r="B99" s="12" t="s">
        <v>360</v>
      </c>
      <c r="C99" s="12" t="s">
        <v>393</v>
      </c>
      <c r="D99" s="13" t="s">
        <v>394</v>
      </c>
      <c r="E99" s="13" t="s">
        <v>395</v>
      </c>
      <c r="F99" s="18" t="s">
        <v>56</v>
      </c>
      <c r="G99" s="13" t="s">
        <v>95</v>
      </c>
      <c r="H99" s="18" t="s">
        <v>96</v>
      </c>
    </row>
    <row r="100" customFormat="false" ht="36" hidden="false" customHeight="true" outlineLevel="0" collapsed="false">
      <c r="A100" s="19" t="n">
        <v>96</v>
      </c>
      <c r="B100" s="9" t="s">
        <v>360</v>
      </c>
      <c r="C100" s="9" t="s">
        <v>396</v>
      </c>
      <c r="D100" s="10" t="s">
        <v>397</v>
      </c>
      <c r="E100" s="10" t="s">
        <v>398</v>
      </c>
      <c r="F100" s="19" t="s">
        <v>100</v>
      </c>
      <c r="G100" s="10" t="s">
        <v>399</v>
      </c>
      <c r="H100" s="19" t="s">
        <v>96</v>
      </c>
    </row>
    <row r="101" customFormat="false" ht="36" hidden="false" customHeight="true" outlineLevel="0" collapsed="false">
      <c r="A101" s="18" t="n">
        <v>97</v>
      </c>
      <c r="B101" s="12" t="s">
        <v>360</v>
      </c>
      <c r="C101" s="12" t="s">
        <v>400</v>
      </c>
      <c r="D101" s="13" t="s">
        <v>401</v>
      </c>
      <c r="E101" s="13" t="s">
        <v>402</v>
      </c>
      <c r="F101" s="18" t="s">
        <v>50</v>
      </c>
      <c r="G101" s="13" t="s">
        <v>95</v>
      </c>
      <c r="H101" s="18" t="s">
        <v>96</v>
      </c>
    </row>
    <row r="102" customFormat="false" ht="36" hidden="false" customHeight="true" outlineLevel="0" collapsed="false">
      <c r="A102" s="19" t="n">
        <v>98</v>
      </c>
      <c r="B102" s="9" t="s">
        <v>360</v>
      </c>
      <c r="C102" s="9" t="s">
        <v>403</v>
      </c>
      <c r="D102" s="10" t="s">
        <v>404</v>
      </c>
      <c r="E102" s="10" t="s">
        <v>405</v>
      </c>
      <c r="F102" s="19" t="s">
        <v>56</v>
      </c>
      <c r="G102" s="10" t="s">
        <v>95</v>
      </c>
      <c r="H102" s="19" t="s">
        <v>96</v>
      </c>
    </row>
    <row r="103" customFormat="false" ht="36" hidden="false" customHeight="true" outlineLevel="0" collapsed="false">
      <c r="A103" s="18" t="n">
        <v>99</v>
      </c>
      <c r="B103" s="12" t="s">
        <v>360</v>
      </c>
      <c r="C103" s="12" t="s">
        <v>406</v>
      </c>
      <c r="D103" s="13" t="s">
        <v>407</v>
      </c>
      <c r="E103" s="13" t="s">
        <v>408</v>
      </c>
      <c r="F103" s="18" t="s">
        <v>56</v>
      </c>
      <c r="G103" s="13" t="s">
        <v>399</v>
      </c>
      <c r="H103" s="18" t="s">
        <v>96</v>
      </c>
    </row>
    <row r="104" customFormat="false" ht="36" hidden="false" customHeight="true" outlineLevel="0" collapsed="false">
      <c r="A104" s="19" t="n">
        <v>100</v>
      </c>
      <c r="B104" s="9" t="s">
        <v>360</v>
      </c>
      <c r="C104" s="9" t="s">
        <v>409</v>
      </c>
      <c r="D104" s="10" t="s">
        <v>410</v>
      </c>
      <c r="E104" s="10" t="s">
        <v>411</v>
      </c>
      <c r="F104" s="19" t="s">
        <v>56</v>
      </c>
      <c r="G104" s="10" t="s">
        <v>412</v>
      </c>
      <c r="H104" s="19" t="s">
        <v>96</v>
      </c>
    </row>
    <row r="105" customFormat="false" ht="36" hidden="false" customHeight="true" outlineLevel="0" collapsed="false">
      <c r="A105" s="18" t="n">
        <v>101</v>
      </c>
      <c r="B105" s="12" t="s">
        <v>360</v>
      </c>
      <c r="C105" s="12" t="s">
        <v>413</v>
      </c>
      <c r="D105" s="13" t="s">
        <v>414</v>
      </c>
      <c r="E105" s="13" t="s">
        <v>415</v>
      </c>
      <c r="F105" s="18" t="s">
        <v>50</v>
      </c>
      <c r="G105" s="13" t="s">
        <v>95</v>
      </c>
      <c r="H105" s="18" t="s">
        <v>96</v>
      </c>
    </row>
    <row r="106" customFormat="false" ht="36" hidden="false" customHeight="true" outlineLevel="0" collapsed="false">
      <c r="A106" s="19" t="n">
        <v>102</v>
      </c>
      <c r="B106" s="9" t="s">
        <v>360</v>
      </c>
      <c r="C106" s="9" t="s">
        <v>416</v>
      </c>
      <c r="D106" s="10" t="s">
        <v>417</v>
      </c>
      <c r="E106" s="10" t="s">
        <v>418</v>
      </c>
      <c r="F106" s="20" t="s">
        <v>226</v>
      </c>
      <c r="G106" s="10" t="s">
        <v>95</v>
      </c>
      <c r="H106" s="19" t="s">
        <v>96</v>
      </c>
    </row>
    <row r="107" customFormat="false" ht="36" hidden="false" customHeight="true" outlineLevel="0" collapsed="false">
      <c r="A107" s="18" t="n">
        <v>103</v>
      </c>
      <c r="B107" s="12" t="s">
        <v>419</v>
      </c>
      <c r="C107" s="12" t="s">
        <v>420</v>
      </c>
      <c r="D107" s="13" t="s">
        <v>421</v>
      </c>
      <c r="E107" s="13" t="s">
        <v>422</v>
      </c>
      <c r="F107" s="18" t="s">
        <v>50</v>
      </c>
      <c r="G107" s="13" t="s">
        <v>95</v>
      </c>
      <c r="H107" s="18" t="s">
        <v>199</v>
      </c>
    </row>
    <row r="108" customFormat="false" ht="36" hidden="false" customHeight="true" outlineLevel="0" collapsed="false">
      <c r="A108" s="19" t="n">
        <v>104</v>
      </c>
      <c r="B108" s="9" t="s">
        <v>419</v>
      </c>
      <c r="C108" s="9" t="s">
        <v>423</v>
      </c>
      <c r="D108" s="10" t="s">
        <v>424</v>
      </c>
      <c r="E108" s="10" t="s">
        <v>425</v>
      </c>
      <c r="F108" s="19" t="s">
        <v>56</v>
      </c>
      <c r="G108" s="10" t="s">
        <v>95</v>
      </c>
      <c r="H108" s="19" t="s">
        <v>199</v>
      </c>
    </row>
    <row r="109" customFormat="false" ht="36" hidden="false" customHeight="true" outlineLevel="0" collapsed="false">
      <c r="A109" s="18" t="n">
        <v>105</v>
      </c>
      <c r="B109" s="12" t="s">
        <v>419</v>
      </c>
      <c r="C109" s="12" t="s">
        <v>426</v>
      </c>
      <c r="D109" s="13" t="s">
        <v>427</v>
      </c>
      <c r="E109" s="13" t="s">
        <v>428</v>
      </c>
      <c r="F109" s="18" t="s">
        <v>50</v>
      </c>
      <c r="G109" s="13" t="s">
        <v>95</v>
      </c>
      <c r="H109" s="18" t="s">
        <v>199</v>
      </c>
    </row>
    <row r="110" customFormat="false" ht="36" hidden="false" customHeight="true" outlineLevel="0" collapsed="false">
      <c r="A110" s="19" t="n">
        <v>106</v>
      </c>
      <c r="B110" s="9" t="s">
        <v>419</v>
      </c>
      <c r="C110" s="9" t="s">
        <v>429</v>
      </c>
      <c r="D110" s="10" t="s">
        <v>430</v>
      </c>
      <c r="E110" s="10" t="s">
        <v>431</v>
      </c>
      <c r="F110" s="19" t="s">
        <v>50</v>
      </c>
      <c r="G110" s="10" t="s">
        <v>95</v>
      </c>
      <c r="H110" s="19" t="s">
        <v>199</v>
      </c>
    </row>
    <row r="111" customFormat="false" ht="36" hidden="false" customHeight="true" outlineLevel="0" collapsed="false">
      <c r="A111" s="18" t="n">
        <v>107</v>
      </c>
      <c r="B111" s="12" t="s">
        <v>419</v>
      </c>
      <c r="C111" s="12" t="s">
        <v>432</v>
      </c>
      <c r="D111" s="13" t="s">
        <v>433</v>
      </c>
      <c r="E111" s="13" t="s">
        <v>434</v>
      </c>
      <c r="F111" s="18" t="s">
        <v>50</v>
      </c>
      <c r="G111" s="13" t="s">
        <v>95</v>
      </c>
      <c r="H111" s="18" t="s">
        <v>199</v>
      </c>
    </row>
    <row r="112" customFormat="false" ht="36" hidden="false" customHeight="true" outlineLevel="0" collapsed="false">
      <c r="A112" s="19" t="n">
        <v>108</v>
      </c>
      <c r="B112" s="9" t="s">
        <v>419</v>
      </c>
      <c r="C112" s="9" t="s">
        <v>435</v>
      </c>
      <c r="D112" s="10" t="s">
        <v>436</v>
      </c>
      <c r="E112" s="10" t="s">
        <v>437</v>
      </c>
      <c r="F112" s="19" t="s">
        <v>50</v>
      </c>
      <c r="G112" s="10" t="s">
        <v>95</v>
      </c>
      <c r="H112" s="19" t="s">
        <v>199</v>
      </c>
    </row>
    <row r="113" customFormat="false" ht="36" hidden="false" customHeight="true" outlineLevel="0" collapsed="false">
      <c r="A113" s="18" t="n">
        <v>109</v>
      </c>
      <c r="B113" s="12" t="s">
        <v>419</v>
      </c>
      <c r="C113" s="12" t="s">
        <v>438</v>
      </c>
      <c r="D113" s="13" t="s">
        <v>439</v>
      </c>
      <c r="E113" s="13" t="s">
        <v>440</v>
      </c>
      <c r="F113" s="18" t="s">
        <v>50</v>
      </c>
      <c r="G113" s="13" t="s">
        <v>95</v>
      </c>
      <c r="H113" s="18" t="s">
        <v>199</v>
      </c>
    </row>
    <row r="114" customFormat="false" ht="36" hidden="false" customHeight="true" outlineLevel="0" collapsed="false">
      <c r="A114" s="19" t="n">
        <v>110</v>
      </c>
      <c r="B114" s="9" t="s">
        <v>419</v>
      </c>
      <c r="C114" s="9" t="s">
        <v>441</v>
      </c>
      <c r="D114" s="10" t="s">
        <v>442</v>
      </c>
      <c r="E114" s="10" t="s">
        <v>443</v>
      </c>
      <c r="F114" s="19" t="s">
        <v>56</v>
      </c>
      <c r="G114" s="10" t="s">
        <v>95</v>
      </c>
      <c r="H114" s="19" t="s">
        <v>199</v>
      </c>
    </row>
    <row r="115" customFormat="false" ht="36" hidden="false" customHeight="true" outlineLevel="0" collapsed="false">
      <c r="A115" s="18" t="n">
        <v>111</v>
      </c>
      <c r="B115" s="12" t="s">
        <v>419</v>
      </c>
      <c r="C115" s="12" t="s">
        <v>444</v>
      </c>
      <c r="D115" s="13" t="s">
        <v>445</v>
      </c>
      <c r="E115" s="13" t="s">
        <v>446</v>
      </c>
      <c r="F115" s="18" t="s">
        <v>50</v>
      </c>
      <c r="G115" s="13" t="s">
        <v>95</v>
      </c>
      <c r="H115" s="18" t="s">
        <v>199</v>
      </c>
    </row>
    <row r="116" customFormat="false" ht="36" hidden="false" customHeight="true" outlineLevel="0" collapsed="false">
      <c r="A116" s="19" t="n">
        <v>112</v>
      </c>
      <c r="B116" s="9" t="s">
        <v>419</v>
      </c>
      <c r="C116" s="9" t="s">
        <v>447</v>
      </c>
      <c r="D116" s="10" t="s">
        <v>448</v>
      </c>
      <c r="E116" s="10" t="s">
        <v>449</v>
      </c>
      <c r="F116" s="19" t="s">
        <v>56</v>
      </c>
      <c r="G116" s="10" t="s">
        <v>95</v>
      </c>
      <c r="H116" s="19" t="s">
        <v>199</v>
      </c>
    </row>
    <row r="117" customFormat="false" ht="36" hidden="false" customHeight="true" outlineLevel="0" collapsed="false">
      <c r="A117" s="18" t="n">
        <v>113</v>
      </c>
      <c r="B117" s="12" t="s">
        <v>450</v>
      </c>
      <c r="C117" s="12" t="s">
        <v>451</v>
      </c>
      <c r="D117" s="13" t="s">
        <v>452</v>
      </c>
      <c r="E117" s="13" t="s">
        <v>453</v>
      </c>
      <c r="F117" s="18" t="s">
        <v>50</v>
      </c>
      <c r="G117" s="13" t="s">
        <v>95</v>
      </c>
      <c r="H117" s="18" t="s">
        <v>199</v>
      </c>
    </row>
    <row r="118" customFormat="false" ht="36" hidden="false" customHeight="true" outlineLevel="0" collapsed="false">
      <c r="A118" s="19" t="n">
        <v>114</v>
      </c>
      <c r="B118" s="9" t="s">
        <v>450</v>
      </c>
      <c r="C118" s="9" t="s">
        <v>454</v>
      </c>
      <c r="D118" s="10" t="s">
        <v>455</v>
      </c>
      <c r="E118" s="10" t="s">
        <v>456</v>
      </c>
      <c r="F118" s="19" t="s">
        <v>50</v>
      </c>
      <c r="G118" s="10" t="s">
        <v>457</v>
      </c>
      <c r="H118" s="19" t="s">
        <v>199</v>
      </c>
    </row>
    <row r="119" customFormat="false" ht="36" hidden="false" customHeight="true" outlineLevel="0" collapsed="false">
      <c r="A119" s="18" t="n">
        <v>115</v>
      </c>
      <c r="B119" s="12" t="s">
        <v>450</v>
      </c>
      <c r="C119" s="12" t="s">
        <v>458</v>
      </c>
      <c r="D119" s="13" t="s">
        <v>459</v>
      </c>
      <c r="E119" s="13" t="s">
        <v>460</v>
      </c>
      <c r="F119" s="20" t="s">
        <v>226</v>
      </c>
      <c r="G119" s="13" t="s">
        <v>95</v>
      </c>
      <c r="H119" s="18" t="s">
        <v>199</v>
      </c>
    </row>
    <row r="120" customFormat="false" ht="36" hidden="false" customHeight="true" outlineLevel="0" collapsed="false">
      <c r="A120" s="19" t="n">
        <v>116</v>
      </c>
      <c r="B120" s="9" t="s">
        <v>450</v>
      </c>
      <c r="C120" s="9" t="s">
        <v>461</v>
      </c>
      <c r="D120" s="10" t="s">
        <v>462</v>
      </c>
      <c r="E120" s="10" t="s">
        <v>463</v>
      </c>
      <c r="F120" s="19" t="s">
        <v>56</v>
      </c>
      <c r="G120" s="10" t="s">
        <v>95</v>
      </c>
      <c r="H120" s="19" t="s">
        <v>199</v>
      </c>
    </row>
    <row r="121" customFormat="false" ht="36" hidden="false" customHeight="true" outlineLevel="0" collapsed="false">
      <c r="A121" s="18" t="n">
        <v>117</v>
      </c>
      <c r="B121" s="12" t="s">
        <v>450</v>
      </c>
      <c r="C121" s="12" t="s">
        <v>464</v>
      </c>
      <c r="D121" s="13" t="s">
        <v>465</v>
      </c>
      <c r="E121" s="13" t="s">
        <v>466</v>
      </c>
      <c r="F121" s="18" t="s">
        <v>50</v>
      </c>
      <c r="G121" s="13" t="s">
        <v>95</v>
      </c>
      <c r="H121" s="18" t="s">
        <v>283</v>
      </c>
    </row>
    <row r="122" customFormat="false" ht="36" hidden="false" customHeight="true" outlineLevel="0" collapsed="false">
      <c r="A122" s="19" t="n">
        <v>118</v>
      </c>
      <c r="B122" s="9" t="s">
        <v>450</v>
      </c>
      <c r="C122" s="9" t="s">
        <v>467</v>
      </c>
      <c r="D122" s="10" t="s">
        <v>468</v>
      </c>
      <c r="E122" s="10" t="s">
        <v>469</v>
      </c>
      <c r="F122" s="19" t="s">
        <v>56</v>
      </c>
      <c r="G122" s="10" t="s">
        <v>95</v>
      </c>
      <c r="H122" s="19" t="s">
        <v>283</v>
      </c>
    </row>
    <row r="123" customFormat="false" ht="36" hidden="false" customHeight="true" outlineLevel="0" collapsed="false">
      <c r="A123" s="18" t="n">
        <v>119</v>
      </c>
      <c r="B123" s="12" t="s">
        <v>450</v>
      </c>
      <c r="C123" s="12" t="s">
        <v>470</v>
      </c>
      <c r="D123" s="13" t="s">
        <v>471</v>
      </c>
      <c r="E123" s="13" t="s">
        <v>472</v>
      </c>
      <c r="F123" s="18" t="s">
        <v>56</v>
      </c>
      <c r="G123" s="13" t="s">
        <v>95</v>
      </c>
      <c r="H123" s="18" t="s">
        <v>199</v>
      </c>
    </row>
    <row r="124" customFormat="false" ht="36" hidden="false" customHeight="true" outlineLevel="0" collapsed="false">
      <c r="A124" s="19" t="n">
        <v>120</v>
      </c>
      <c r="B124" s="9" t="s">
        <v>450</v>
      </c>
      <c r="C124" s="9" t="s">
        <v>473</v>
      </c>
      <c r="D124" s="10" t="s">
        <v>474</v>
      </c>
      <c r="E124" s="10" t="s">
        <v>475</v>
      </c>
      <c r="F124" s="19" t="s">
        <v>50</v>
      </c>
      <c r="G124" s="10" t="s">
        <v>95</v>
      </c>
      <c r="H124" s="19" t="s">
        <v>199</v>
      </c>
    </row>
    <row r="125" customFormat="false" ht="36" hidden="false" customHeight="true" outlineLevel="0" collapsed="false">
      <c r="A125" s="18" t="n">
        <v>121</v>
      </c>
      <c r="B125" s="12" t="s">
        <v>450</v>
      </c>
      <c r="C125" s="12" t="s">
        <v>476</v>
      </c>
      <c r="D125" s="13" t="s">
        <v>477</v>
      </c>
      <c r="E125" s="13" t="s">
        <v>478</v>
      </c>
      <c r="F125" s="18" t="s">
        <v>50</v>
      </c>
      <c r="G125" s="13" t="s">
        <v>479</v>
      </c>
      <c r="H125" s="18" t="s">
        <v>199</v>
      </c>
    </row>
    <row r="126" customFormat="false" ht="36" hidden="false" customHeight="true" outlineLevel="0" collapsed="false">
      <c r="A126" s="19" t="n">
        <v>122</v>
      </c>
      <c r="B126" s="9" t="s">
        <v>480</v>
      </c>
      <c r="C126" s="9" t="s">
        <v>481</v>
      </c>
      <c r="D126" s="10" t="s">
        <v>482</v>
      </c>
      <c r="E126" s="10" t="s">
        <v>483</v>
      </c>
      <c r="F126" s="19" t="s">
        <v>50</v>
      </c>
      <c r="G126" s="10" t="s">
        <v>95</v>
      </c>
      <c r="H126" s="19" t="s">
        <v>199</v>
      </c>
    </row>
    <row r="127" customFormat="false" ht="36" hidden="false" customHeight="true" outlineLevel="0" collapsed="false">
      <c r="A127" s="18" t="n">
        <v>123</v>
      </c>
      <c r="B127" s="12" t="s">
        <v>480</v>
      </c>
      <c r="C127" s="12" t="s">
        <v>484</v>
      </c>
      <c r="D127" s="13" t="s">
        <v>485</v>
      </c>
      <c r="E127" s="13" t="s">
        <v>486</v>
      </c>
      <c r="F127" s="18" t="s">
        <v>50</v>
      </c>
      <c r="G127" s="13" t="s">
        <v>95</v>
      </c>
      <c r="H127" s="18" t="s">
        <v>199</v>
      </c>
    </row>
    <row r="128" customFormat="false" ht="36" hidden="false" customHeight="true" outlineLevel="0" collapsed="false">
      <c r="A128" s="19" t="n">
        <v>124</v>
      </c>
      <c r="B128" s="9" t="s">
        <v>480</v>
      </c>
      <c r="C128" s="9" t="s">
        <v>487</v>
      </c>
      <c r="D128" s="10" t="s">
        <v>488</v>
      </c>
      <c r="E128" s="10" t="s">
        <v>489</v>
      </c>
      <c r="F128" s="20" t="s">
        <v>226</v>
      </c>
      <c r="G128" s="10" t="s">
        <v>95</v>
      </c>
      <c r="H128" s="19" t="s">
        <v>199</v>
      </c>
    </row>
    <row r="129" customFormat="false" ht="36" hidden="false" customHeight="true" outlineLevel="0" collapsed="false">
      <c r="A129" s="18" t="n">
        <v>125</v>
      </c>
      <c r="B129" s="12" t="s">
        <v>480</v>
      </c>
      <c r="C129" s="12" t="s">
        <v>490</v>
      </c>
      <c r="D129" s="13" t="s">
        <v>491</v>
      </c>
      <c r="E129" s="13" t="s">
        <v>492</v>
      </c>
      <c r="F129" s="18" t="s">
        <v>56</v>
      </c>
      <c r="G129" s="13" t="s">
        <v>95</v>
      </c>
      <c r="H129" s="18" t="s">
        <v>199</v>
      </c>
    </row>
    <row r="130" customFormat="false" ht="36" hidden="false" customHeight="true" outlineLevel="0" collapsed="false">
      <c r="A130" s="19" t="n">
        <v>126</v>
      </c>
      <c r="B130" s="9" t="s">
        <v>480</v>
      </c>
      <c r="C130" s="9" t="s">
        <v>493</v>
      </c>
      <c r="D130" s="10" t="s">
        <v>494</v>
      </c>
      <c r="E130" s="10" t="s">
        <v>495</v>
      </c>
      <c r="F130" s="20" t="s">
        <v>496</v>
      </c>
      <c r="G130" s="10" t="s">
        <v>95</v>
      </c>
      <c r="H130" s="19" t="s">
        <v>199</v>
      </c>
    </row>
    <row r="131" customFormat="false" ht="36" hidden="false" customHeight="true" outlineLevel="0" collapsed="false">
      <c r="A131" s="18" t="n">
        <v>127</v>
      </c>
      <c r="B131" s="12" t="s">
        <v>480</v>
      </c>
      <c r="C131" s="12" t="s">
        <v>497</v>
      </c>
      <c r="D131" s="13" t="s">
        <v>498</v>
      </c>
      <c r="E131" s="13" t="s">
        <v>99</v>
      </c>
      <c r="F131" s="18" t="s">
        <v>100</v>
      </c>
      <c r="G131" s="13" t="s">
        <v>95</v>
      </c>
      <c r="H131" s="18" t="s">
        <v>199</v>
      </c>
    </row>
    <row r="132" customFormat="false" ht="36" hidden="false" customHeight="true" outlineLevel="0" collapsed="false">
      <c r="A132" s="19" t="n">
        <v>128</v>
      </c>
      <c r="B132" s="9" t="s">
        <v>480</v>
      </c>
      <c r="C132" s="9" t="s">
        <v>499</v>
      </c>
      <c r="D132" s="10" t="s">
        <v>500</v>
      </c>
      <c r="E132" s="10" t="s">
        <v>501</v>
      </c>
      <c r="F132" s="20" t="s">
        <v>226</v>
      </c>
      <c r="G132" s="10" t="s">
        <v>95</v>
      </c>
      <c r="H132" s="19" t="s">
        <v>199</v>
      </c>
    </row>
    <row r="133" customFormat="false" ht="36" hidden="false" customHeight="true" outlineLevel="0" collapsed="false">
      <c r="A133" s="18" t="n">
        <v>129</v>
      </c>
      <c r="B133" s="12" t="s">
        <v>480</v>
      </c>
      <c r="C133" s="12" t="s">
        <v>502</v>
      </c>
      <c r="D133" s="13" t="s">
        <v>503</v>
      </c>
      <c r="E133" s="13" t="s">
        <v>504</v>
      </c>
      <c r="F133" s="18" t="s">
        <v>50</v>
      </c>
      <c r="G133" s="13" t="s">
        <v>95</v>
      </c>
      <c r="H133" s="18" t="s">
        <v>199</v>
      </c>
    </row>
    <row r="134" customFormat="false" ht="36" hidden="false" customHeight="true" outlineLevel="0" collapsed="false">
      <c r="A134" s="19" t="n">
        <v>130</v>
      </c>
      <c r="B134" s="9" t="s">
        <v>480</v>
      </c>
      <c r="C134" s="9" t="s">
        <v>505</v>
      </c>
      <c r="D134" s="10" t="s">
        <v>506</v>
      </c>
      <c r="E134" s="10" t="s">
        <v>507</v>
      </c>
      <c r="F134" s="19" t="s">
        <v>56</v>
      </c>
      <c r="G134" s="10" t="s">
        <v>95</v>
      </c>
      <c r="H134" s="19" t="s">
        <v>199</v>
      </c>
    </row>
    <row r="135" customFormat="false" ht="36" hidden="false" customHeight="true" outlineLevel="0" collapsed="false">
      <c r="A135" s="18" t="n">
        <v>131</v>
      </c>
      <c r="B135" s="12" t="s">
        <v>508</v>
      </c>
      <c r="C135" s="12" t="s">
        <v>509</v>
      </c>
      <c r="D135" s="13" t="s">
        <v>510</v>
      </c>
      <c r="E135" s="13" t="s">
        <v>511</v>
      </c>
      <c r="F135" s="18" t="s">
        <v>50</v>
      </c>
      <c r="G135" s="13" t="s">
        <v>95</v>
      </c>
      <c r="H135" s="18" t="s">
        <v>199</v>
      </c>
    </row>
    <row r="136" customFormat="false" ht="36" hidden="false" customHeight="true" outlineLevel="0" collapsed="false">
      <c r="A136" s="19" t="n">
        <v>132</v>
      </c>
      <c r="B136" s="9" t="s">
        <v>508</v>
      </c>
      <c r="C136" s="9" t="s">
        <v>512</v>
      </c>
      <c r="D136" s="10" t="s">
        <v>513</v>
      </c>
      <c r="E136" s="10" t="s">
        <v>514</v>
      </c>
      <c r="F136" s="19" t="s">
        <v>50</v>
      </c>
      <c r="G136" s="10" t="s">
        <v>95</v>
      </c>
      <c r="H136" s="19" t="s">
        <v>199</v>
      </c>
    </row>
    <row r="137" customFormat="false" ht="36" hidden="false" customHeight="true" outlineLevel="0" collapsed="false">
      <c r="A137" s="18" t="n">
        <v>133</v>
      </c>
      <c r="B137" s="12" t="s">
        <v>508</v>
      </c>
      <c r="C137" s="12" t="s">
        <v>515</v>
      </c>
      <c r="D137" s="13" t="s">
        <v>516</v>
      </c>
      <c r="E137" s="13" t="s">
        <v>517</v>
      </c>
      <c r="F137" s="18" t="s">
        <v>44</v>
      </c>
      <c r="G137" s="13" t="s">
        <v>518</v>
      </c>
      <c r="H137" s="18" t="s">
        <v>199</v>
      </c>
    </row>
    <row r="138" customFormat="false" ht="36" hidden="false" customHeight="true" outlineLevel="0" collapsed="false">
      <c r="A138" s="19" t="n">
        <v>134</v>
      </c>
      <c r="B138" s="9" t="s">
        <v>508</v>
      </c>
      <c r="C138" s="9" t="s">
        <v>519</v>
      </c>
      <c r="D138" s="10" t="s">
        <v>163</v>
      </c>
      <c r="E138" s="10" t="s">
        <v>520</v>
      </c>
      <c r="F138" s="19" t="s">
        <v>50</v>
      </c>
      <c r="G138" s="10" t="s">
        <v>95</v>
      </c>
      <c r="H138" s="19" t="s">
        <v>199</v>
      </c>
    </row>
    <row r="139" customFormat="false" ht="36" hidden="false" customHeight="true" outlineLevel="0" collapsed="false">
      <c r="A139" s="18" t="n">
        <v>135</v>
      </c>
      <c r="B139" s="12" t="s">
        <v>508</v>
      </c>
      <c r="C139" s="12" t="s">
        <v>521</v>
      </c>
      <c r="D139" s="13" t="s">
        <v>522</v>
      </c>
      <c r="E139" s="13" t="s">
        <v>523</v>
      </c>
      <c r="F139" s="18" t="s">
        <v>50</v>
      </c>
      <c r="G139" s="13" t="s">
        <v>524</v>
      </c>
      <c r="H139" s="18" t="s">
        <v>199</v>
      </c>
    </row>
    <row r="140" customFormat="false" ht="36" hidden="false" customHeight="true" outlineLevel="0" collapsed="false">
      <c r="A140" s="19" t="n">
        <v>136</v>
      </c>
      <c r="B140" s="9" t="s">
        <v>508</v>
      </c>
      <c r="C140" s="9" t="s">
        <v>525</v>
      </c>
      <c r="D140" s="10" t="s">
        <v>526</v>
      </c>
      <c r="E140" s="10" t="s">
        <v>527</v>
      </c>
      <c r="F140" s="19" t="s">
        <v>50</v>
      </c>
      <c r="G140" s="10" t="s">
        <v>528</v>
      </c>
      <c r="H140" s="19" t="s">
        <v>199</v>
      </c>
    </row>
    <row r="141" customFormat="false" ht="36" hidden="false" customHeight="true" outlineLevel="0" collapsed="false">
      <c r="A141" s="18" t="n">
        <v>137</v>
      </c>
      <c r="B141" s="12" t="s">
        <v>508</v>
      </c>
      <c r="C141" s="12" t="s">
        <v>529</v>
      </c>
      <c r="D141" s="13" t="s">
        <v>530</v>
      </c>
      <c r="E141" s="13" t="s">
        <v>531</v>
      </c>
      <c r="F141" s="18" t="s">
        <v>50</v>
      </c>
      <c r="G141" s="13" t="s">
        <v>532</v>
      </c>
      <c r="H141" s="18" t="s">
        <v>199</v>
      </c>
    </row>
    <row r="142" customFormat="false" ht="36" hidden="false" customHeight="true" outlineLevel="0" collapsed="false">
      <c r="A142" s="19" t="n">
        <v>138</v>
      </c>
      <c r="B142" s="9" t="s">
        <v>508</v>
      </c>
      <c r="C142" s="9" t="s">
        <v>533</v>
      </c>
      <c r="D142" s="10" t="s">
        <v>534</v>
      </c>
      <c r="E142" s="10" t="s">
        <v>535</v>
      </c>
      <c r="F142" s="19" t="s">
        <v>50</v>
      </c>
      <c r="G142" s="10" t="s">
        <v>95</v>
      </c>
      <c r="H142" s="19" t="s">
        <v>199</v>
      </c>
    </row>
    <row r="143" customFormat="false" ht="36" hidden="false" customHeight="true" outlineLevel="0" collapsed="false">
      <c r="A143" s="18" t="n">
        <v>139</v>
      </c>
      <c r="B143" s="12" t="s">
        <v>508</v>
      </c>
      <c r="C143" s="12" t="s">
        <v>536</v>
      </c>
      <c r="D143" s="13" t="s">
        <v>537</v>
      </c>
      <c r="E143" s="13" t="s">
        <v>538</v>
      </c>
      <c r="F143" s="18" t="s">
        <v>50</v>
      </c>
      <c r="G143" s="13" t="s">
        <v>539</v>
      </c>
      <c r="H143" s="18" t="s">
        <v>283</v>
      </c>
    </row>
    <row r="144" customFormat="false" ht="36" hidden="false" customHeight="true" outlineLevel="0" collapsed="false">
      <c r="A144" s="19" t="n">
        <v>140</v>
      </c>
      <c r="B144" s="9" t="s">
        <v>508</v>
      </c>
      <c r="C144" s="9" t="s">
        <v>540</v>
      </c>
      <c r="D144" s="10" t="s">
        <v>541</v>
      </c>
      <c r="E144" s="10" t="s">
        <v>542</v>
      </c>
      <c r="F144" s="19" t="s">
        <v>50</v>
      </c>
      <c r="G144" s="10" t="s">
        <v>543</v>
      </c>
      <c r="H144" s="19" t="s">
        <v>283</v>
      </c>
    </row>
    <row r="145" customFormat="false" ht="36" hidden="false" customHeight="true" outlineLevel="0" collapsed="false">
      <c r="A145" s="18" t="n">
        <v>141</v>
      </c>
      <c r="B145" s="12" t="s">
        <v>508</v>
      </c>
      <c r="C145" s="12" t="s">
        <v>544</v>
      </c>
      <c r="D145" s="13" t="s">
        <v>545</v>
      </c>
      <c r="E145" s="13" t="s">
        <v>546</v>
      </c>
      <c r="F145" s="20" t="s">
        <v>226</v>
      </c>
      <c r="G145" s="13" t="s">
        <v>95</v>
      </c>
      <c r="H145" s="18" t="s">
        <v>199</v>
      </c>
    </row>
    <row r="146" customFormat="false" ht="36" hidden="false" customHeight="true" outlineLevel="0" collapsed="false">
      <c r="A146" s="19" t="n">
        <v>142</v>
      </c>
      <c r="B146" s="9" t="s">
        <v>508</v>
      </c>
      <c r="C146" s="9" t="s">
        <v>547</v>
      </c>
      <c r="D146" s="10" t="s">
        <v>548</v>
      </c>
      <c r="E146" s="10" t="s">
        <v>549</v>
      </c>
      <c r="F146" s="20" t="s">
        <v>496</v>
      </c>
      <c r="G146" s="10" t="s">
        <v>95</v>
      </c>
      <c r="H146" s="19" t="s">
        <v>199</v>
      </c>
    </row>
    <row r="147" customFormat="false" ht="36" hidden="false" customHeight="true" outlineLevel="0" collapsed="false">
      <c r="A147" s="18" t="n">
        <v>143</v>
      </c>
      <c r="B147" s="12" t="s">
        <v>508</v>
      </c>
      <c r="C147" s="12" t="s">
        <v>550</v>
      </c>
      <c r="D147" s="13" t="s">
        <v>551</v>
      </c>
      <c r="E147" s="13" t="s">
        <v>507</v>
      </c>
      <c r="F147" s="18" t="s">
        <v>56</v>
      </c>
      <c r="G147" s="13" t="s">
        <v>95</v>
      </c>
      <c r="H147" s="18" t="s">
        <v>199</v>
      </c>
    </row>
    <row r="148" customFormat="false" ht="36" hidden="false" customHeight="true" outlineLevel="0" collapsed="false">
      <c r="A148" s="19" t="n">
        <v>144</v>
      </c>
      <c r="B148" s="9" t="s">
        <v>552</v>
      </c>
      <c r="C148" s="9" t="s">
        <v>553</v>
      </c>
      <c r="D148" s="10" t="s">
        <v>554</v>
      </c>
      <c r="E148" s="10" t="s">
        <v>555</v>
      </c>
      <c r="F148" s="19" t="s">
        <v>50</v>
      </c>
      <c r="G148" s="10" t="s">
        <v>556</v>
      </c>
      <c r="H148" s="19" t="s">
        <v>199</v>
      </c>
    </row>
    <row r="149" customFormat="false" ht="36" hidden="false" customHeight="true" outlineLevel="0" collapsed="false">
      <c r="A149" s="18" t="n">
        <v>145</v>
      </c>
      <c r="B149" s="12" t="s">
        <v>552</v>
      </c>
      <c r="C149" s="12" t="s">
        <v>557</v>
      </c>
      <c r="D149" s="13" t="s">
        <v>558</v>
      </c>
      <c r="E149" s="13" t="s">
        <v>559</v>
      </c>
      <c r="F149" s="20" t="s">
        <v>226</v>
      </c>
      <c r="G149" s="13" t="s">
        <v>95</v>
      </c>
      <c r="H149" s="18" t="s">
        <v>199</v>
      </c>
    </row>
    <row r="150" customFormat="false" ht="36" hidden="false" customHeight="true" outlineLevel="0" collapsed="false">
      <c r="A150" s="19" t="n">
        <v>146</v>
      </c>
      <c r="B150" s="9" t="s">
        <v>552</v>
      </c>
      <c r="C150" s="9" t="s">
        <v>560</v>
      </c>
      <c r="D150" s="10" t="s">
        <v>561</v>
      </c>
      <c r="E150" s="10" t="s">
        <v>562</v>
      </c>
      <c r="F150" s="20" t="s">
        <v>226</v>
      </c>
      <c r="G150" s="10" t="s">
        <v>95</v>
      </c>
      <c r="H150" s="19" t="s">
        <v>199</v>
      </c>
    </row>
    <row r="151" customFormat="false" ht="36" hidden="false" customHeight="true" outlineLevel="0" collapsed="false">
      <c r="A151" s="18" t="n">
        <v>147</v>
      </c>
      <c r="B151" s="12" t="s">
        <v>552</v>
      </c>
      <c r="C151" s="12" t="s">
        <v>563</v>
      </c>
      <c r="D151" s="13" t="s">
        <v>564</v>
      </c>
      <c r="E151" s="13" t="s">
        <v>565</v>
      </c>
      <c r="F151" s="18" t="s">
        <v>100</v>
      </c>
      <c r="G151" s="13" t="s">
        <v>95</v>
      </c>
      <c r="H151" s="18" t="s">
        <v>199</v>
      </c>
    </row>
    <row r="152" customFormat="false" ht="36" hidden="false" customHeight="true" outlineLevel="0" collapsed="false">
      <c r="A152" s="19" t="n">
        <v>148</v>
      </c>
      <c r="B152" s="9" t="s">
        <v>552</v>
      </c>
      <c r="C152" s="9" t="s">
        <v>566</v>
      </c>
      <c r="D152" s="10" t="s">
        <v>567</v>
      </c>
      <c r="E152" s="10" t="s">
        <v>568</v>
      </c>
      <c r="F152" s="19" t="s">
        <v>100</v>
      </c>
      <c r="G152" s="10" t="s">
        <v>95</v>
      </c>
      <c r="H152" s="19" t="s">
        <v>199</v>
      </c>
    </row>
    <row r="153" customFormat="false" ht="36" hidden="false" customHeight="true" outlineLevel="0" collapsed="false">
      <c r="A153" s="18" t="n">
        <v>149</v>
      </c>
      <c r="B153" s="12" t="s">
        <v>552</v>
      </c>
      <c r="C153" s="12" t="s">
        <v>569</v>
      </c>
      <c r="D153" s="13" t="s">
        <v>570</v>
      </c>
      <c r="E153" s="13" t="s">
        <v>571</v>
      </c>
      <c r="F153" s="18" t="s">
        <v>56</v>
      </c>
      <c r="G153" s="13" t="s">
        <v>95</v>
      </c>
      <c r="H153" s="18" t="s">
        <v>96</v>
      </c>
    </row>
    <row r="154" customFormat="false" ht="36" hidden="false" customHeight="true" outlineLevel="0" collapsed="false">
      <c r="A154" s="19" t="n">
        <v>150</v>
      </c>
      <c r="B154" s="9" t="s">
        <v>552</v>
      </c>
      <c r="C154" s="9" t="s">
        <v>572</v>
      </c>
      <c r="D154" s="10" t="s">
        <v>573</v>
      </c>
      <c r="E154" s="10" t="s">
        <v>574</v>
      </c>
      <c r="F154" s="19" t="s">
        <v>50</v>
      </c>
      <c r="G154" s="10" t="s">
        <v>95</v>
      </c>
      <c r="H154" s="19" t="s">
        <v>199</v>
      </c>
    </row>
    <row r="155" customFormat="false" ht="36" hidden="false" customHeight="true" outlineLevel="0" collapsed="false">
      <c r="A155" s="18" t="n">
        <v>151</v>
      </c>
      <c r="B155" s="12" t="s">
        <v>552</v>
      </c>
      <c r="C155" s="12" t="s">
        <v>575</v>
      </c>
      <c r="D155" s="13" t="s">
        <v>576</v>
      </c>
      <c r="E155" s="13" t="s">
        <v>577</v>
      </c>
      <c r="F155" s="18" t="s">
        <v>50</v>
      </c>
      <c r="G155" s="13" t="s">
        <v>95</v>
      </c>
      <c r="H155" s="18" t="s">
        <v>199</v>
      </c>
    </row>
    <row r="156" customFormat="false" ht="36" hidden="false" customHeight="true" outlineLevel="0" collapsed="false">
      <c r="A156" s="19" t="n">
        <v>152</v>
      </c>
      <c r="B156" s="9" t="s">
        <v>552</v>
      </c>
      <c r="C156" s="9" t="s">
        <v>578</v>
      </c>
      <c r="D156" s="10" t="s">
        <v>579</v>
      </c>
      <c r="E156" s="10" t="s">
        <v>580</v>
      </c>
      <c r="F156" s="19" t="s">
        <v>50</v>
      </c>
      <c r="G156" s="10" t="s">
        <v>95</v>
      </c>
      <c r="H156" s="19" t="s">
        <v>283</v>
      </c>
    </row>
    <row r="157" customFormat="false" ht="36" hidden="false" customHeight="true" outlineLevel="0" collapsed="false">
      <c r="A157" s="18" t="n">
        <v>153</v>
      </c>
      <c r="B157" s="12" t="s">
        <v>552</v>
      </c>
      <c r="C157" s="12" t="s">
        <v>581</v>
      </c>
      <c r="D157" s="13" t="s">
        <v>582</v>
      </c>
      <c r="E157" s="13" t="s">
        <v>583</v>
      </c>
      <c r="F157" s="18" t="s">
        <v>50</v>
      </c>
      <c r="G157" s="13" t="s">
        <v>95</v>
      </c>
      <c r="H157" s="18" t="s">
        <v>199</v>
      </c>
    </row>
    <row r="158" customFormat="false" ht="36" hidden="false" customHeight="true" outlineLevel="0" collapsed="false">
      <c r="A158" s="19" t="n">
        <v>154</v>
      </c>
      <c r="B158" s="9" t="s">
        <v>552</v>
      </c>
      <c r="C158" s="9" t="s">
        <v>584</v>
      </c>
      <c r="D158" s="10" t="s">
        <v>585</v>
      </c>
      <c r="E158" s="10" t="s">
        <v>586</v>
      </c>
      <c r="F158" s="19" t="s">
        <v>50</v>
      </c>
      <c r="G158" s="10" t="s">
        <v>95</v>
      </c>
      <c r="H158" s="19" t="s">
        <v>199</v>
      </c>
    </row>
    <row r="159" customFormat="false" ht="36" hidden="false" customHeight="true" outlineLevel="0" collapsed="false">
      <c r="A159" s="18" t="n">
        <v>155</v>
      </c>
      <c r="B159" s="12" t="s">
        <v>552</v>
      </c>
      <c r="C159" s="12" t="s">
        <v>587</v>
      </c>
      <c r="D159" s="13" t="s">
        <v>588</v>
      </c>
      <c r="E159" s="13" t="s">
        <v>589</v>
      </c>
      <c r="F159" s="18" t="s">
        <v>50</v>
      </c>
      <c r="G159" s="13" t="s">
        <v>95</v>
      </c>
      <c r="H159" s="18" t="s">
        <v>199</v>
      </c>
    </row>
    <row r="160" customFormat="false" ht="36" hidden="false" customHeight="true" outlineLevel="0" collapsed="false">
      <c r="A160" s="19" t="n">
        <v>156</v>
      </c>
      <c r="B160" s="9" t="s">
        <v>552</v>
      </c>
      <c r="C160" s="9" t="s">
        <v>590</v>
      </c>
      <c r="D160" s="10" t="s">
        <v>591</v>
      </c>
      <c r="E160" s="10" t="s">
        <v>592</v>
      </c>
      <c r="F160" s="19" t="s">
        <v>50</v>
      </c>
      <c r="G160" s="10" t="s">
        <v>95</v>
      </c>
      <c r="H160" s="19" t="s">
        <v>96</v>
      </c>
    </row>
    <row r="161" customFormat="false" ht="36" hidden="false" customHeight="true" outlineLevel="0" collapsed="false">
      <c r="A161" s="18" t="n">
        <v>157</v>
      </c>
      <c r="B161" s="12" t="s">
        <v>552</v>
      </c>
      <c r="C161" s="12" t="s">
        <v>593</v>
      </c>
      <c r="D161" s="13" t="s">
        <v>594</v>
      </c>
      <c r="E161" s="13" t="s">
        <v>595</v>
      </c>
      <c r="F161" s="18" t="s">
        <v>56</v>
      </c>
      <c r="G161" s="13" t="s">
        <v>95</v>
      </c>
      <c r="H161" s="18" t="s">
        <v>96</v>
      </c>
    </row>
    <row r="162" customFormat="false" ht="36" hidden="false" customHeight="true" outlineLevel="0" collapsed="false">
      <c r="A162" s="19" t="n">
        <v>158</v>
      </c>
      <c r="B162" s="9" t="s">
        <v>596</v>
      </c>
      <c r="C162" s="9" t="s">
        <v>597</v>
      </c>
      <c r="D162" s="10" t="s">
        <v>598</v>
      </c>
      <c r="E162" s="10" t="s">
        <v>599</v>
      </c>
      <c r="F162" s="19" t="s">
        <v>56</v>
      </c>
      <c r="G162" s="10" t="s">
        <v>600</v>
      </c>
      <c r="H162" s="19" t="s">
        <v>199</v>
      </c>
    </row>
    <row r="163" customFormat="false" ht="36" hidden="false" customHeight="true" outlineLevel="0" collapsed="false">
      <c r="A163" s="18" t="n">
        <v>159</v>
      </c>
      <c r="B163" s="12" t="s">
        <v>596</v>
      </c>
      <c r="C163" s="12" t="s">
        <v>601</v>
      </c>
      <c r="D163" s="13" t="s">
        <v>602</v>
      </c>
      <c r="E163" s="13" t="s">
        <v>603</v>
      </c>
      <c r="F163" s="18" t="s">
        <v>50</v>
      </c>
      <c r="G163" s="13" t="s">
        <v>95</v>
      </c>
      <c r="H163" s="18" t="s">
        <v>199</v>
      </c>
    </row>
    <row r="164" customFormat="false" ht="36" hidden="false" customHeight="true" outlineLevel="0" collapsed="false">
      <c r="A164" s="19" t="n">
        <v>160</v>
      </c>
      <c r="B164" s="9" t="s">
        <v>596</v>
      </c>
      <c r="C164" s="9" t="s">
        <v>604</v>
      </c>
      <c r="D164" s="10" t="s">
        <v>605</v>
      </c>
      <c r="E164" s="10" t="s">
        <v>606</v>
      </c>
      <c r="F164" s="19" t="s">
        <v>50</v>
      </c>
      <c r="G164" s="10" t="s">
        <v>95</v>
      </c>
      <c r="H164" s="19" t="s">
        <v>199</v>
      </c>
    </row>
    <row r="165" customFormat="false" ht="36" hidden="false" customHeight="true" outlineLevel="0" collapsed="false">
      <c r="A165" s="18" t="n">
        <v>161</v>
      </c>
      <c r="B165" s="12" t="s">
        <v>596</v>
      </c>
      <c r="C165" s="12" t="s">
        <v>607</v>
      </c>
      <c r="D165" s="13" t="s">
        <v>608</v>
      </c>
      <c r="E165" s="13" t="s">
        <v>609</v>
      </c>
      <c r="F165" s="18" t="s">
        <v>50</v>
      </c>
      <c r="G165" s="13" t="s">
        <v>95</v>
      </c>
      <c r="H165" s="18" t="s">
        <v>96</v>
      </c>
    </row>
    <row r="166" customFormat="false" ht="36" hidden="false" customHeight="true" outlineLevel="0" collapsed="false">
      <c r="A166" s="19" t="n">
        <v>162</v>
      </c>
      <c r="B166" s="9" t="s">
        <v>596</v>
      </c>
      <c r="C166" s="9" t="s">
        <v>610</v>
      </c>
      <c r="D166" s="10" t="s">
        <v>611</v>
      </c>
      <c r="E166" s="10" t="s">
        <v>99</v>
      </c>
      <c r="F166" s="19" t="s">
        <v>100</v>
      </c>
      <c r="G166" s="10" t="s">
        <v>95</v>
      </c>
      <c r="H166" s="19" t="s">
        <v>96</v>
      </c>
    </row>
    <row r="167" customFormat="false" ht="36" hidden="false" customHeight="true" outlineLevel="0" collapsed="false">
      <c r="A167" s="18" t="n">
        <v>163</v>
      </c>
      <c r="B167" s="12" t="s">
        <v>596</v>
      </c>
      <c r="C167" s="12" t="s">
        <v>612</v>
      </c>
      <c r="D167" s="13" t="s">
        <v>613</v>
      </c>
      <c r="E167" s="13" t="s">
        <v>614</v>
      </c>
      <c r="F167" s="18" t="s">
        <v>50</v>
      </c>
      <c r="G167" s="13" t="s">
        <v>95</v>
      </c>
      <c r="H167" s="18" t="s">
        <v>199</v>
      </c>
    </row>
    <row r="168" customFormat="false" ht="36" hidden="false" customHeight="true" outlineLevel="0" collapsed="false">
      <c r="A168" s="19" t="n">
        <v>164</v>
      </c>
      <c r="B168" s="9" t="s">
        <v>596</v>
      </c>
      <c r="C168" s="9" t="s">
        <v>615</v>
      </c>
      <c r="D168" s="10" t="s">
        <v>616</v>
      </c>
      <c r="E168" s="10" t="s">
        <v>617</v>
      </c>
      <c r="F168" s="19" t="s">
        <v>56</v>
      </c>
      <c r="G168" s="10" t="s">
        <v>95</v>
      </c>
      <c r="H168" s="19" t="s">
        <v>199</v>
      </c>
    </row>
    <row r="169" customFormat="false" ht="36" hidden="false" customHeight="true" outlineLevel="0" collapsed="false">
      <c r="A169" s="18" t="n">
        <v>165</v>
      </c>
      <c r="B169" s="12" t="s">
        <v>596</v>
      </c>
      <c r="C169" s="12" t="s">
        <v>618</v>
      </c>
      <c r="D169" s="13" t="s">
        <v>619</v>
      </c>
      <c r="E169" s="13" t="s">
        <v>620</v>
      </c>
      <c r="F169" s="18" t="s">
        <v>50</v>
      </c>
      <c r="G169" s="13" t="s">
        <v>621</v>
      </c>
      <c r="H169" s="18" t="s">
        <v>283</v>
      </c>
    </row>
    <row r="170" customFormat="false" ht="36" hidden="false" customHeight="true" outlineLevel="0" collapsed="false">
      <c r="A170" s="19" t="n">
        <v>166</v>
      </c>
      <c r="B170" s="9" t="s">
        <v>596</v>
      </c>
      <c r="C170" s="9" t="s">
        <v>622</v>
      </c>
      <c r="D170" s="10" t="s">
        <v>623</v>
      </c>
      <c r="E170" s="10" t="s">
        <v>624</v>
      </c>
      <c r="F170" s="19" t="s">
        <v>50</v>
      </c>
      <c r="G170" s="10" t="s">
        <v>625</v>
      </c>
      <c r="H170" s="19" t="s">
        <v>96</v>
      </c>
    </row>
    <row r="171" customFormat="false" ht="36" hidden="false" customHeight="true" outlineLevel="0" collapsed="false">
      <c r="A171" s="18" t="n">
        <v>167</v>
      </c>
      <c r="B171" s="12" t="s">
        <v>596</v>
      </c>
      <c r="C171" s="12" t="s">
        <v>626</v>
      </c>
      <c r="D171" s="13" t="s">
        <v>627</v>
      </c>
      <c r="E171" s="13" t="s">
        <v>507</v>
      </c>
      <c r="F171" s="18" t="s">
        <v>56</v>
      </c>
      <c r="G171" s="13" t="s">
        <v>95</v>
      </c>
      <c r="H171" s="18" t="s">
        <v>199</v>
      </c>
    </row>
    <row r="172" customFormat="false" ht="36" hidden="false" customHeight="true" outlineLevel="0" collapsed="false">
      <c r="A172" s="19" t="n">
        <v>168</v>
      </c>
      <c r="B172" s="9" t="s">
        <v>628</v>
      </c>
      <c r="C172" s="9" t="s">
        <v>629</v>
      </c>
      <c r="D172" s="10" t="s">
        <v>630</v>
      </c>
      <c r="E172" s="10" t="s">
        <v>631</v>
      </c>
      <c r="F172" s="19" t="s">
        <v>56</v>
      </c>
      <c r="G172" s="10" t="s">
        <v>95</v>
      </c>
      <c r="H172" s="19" t="s">
        <v>96</v>
      </c>
    </row>
    <row r="173" customFormat="false" ht="36" hidden="false" customHeight="true" outlineLevel="0" collapsed="false">
      <c r="A173" s="18" t="n">
        <v>169</v>
      </c>
      <c r="B173" s="12" t="s">
        <v>628</v>
      </c>
      <c r="C173" s="12" t="s">
        <v>632</v>
      </c>
      <c r="D173" s="13" t="s">
        <v>633</v>
      </c>
      <c r="E173" s="13" t="s">
        <v>634</v>
      </c>
      <c r="F173" s="18" t="s">
        <v>56</v>
      </c>
      <c r="G173" s="13" t="s">
        <v>635</v>
      </c>
      <c r="H173" s="18" t="s">
        <v>96</v>
      </c>
    </row>
    <row r="174" customFormat="false" ht="36" hidden="false" customHeight="true" outlineLevel="0" collapsed="false">
      <c r="A174" s="19" t="n">
        <v>170</v>
      </c>
      <c r="B174" s="9" t="s">
        <v>628</v>
      </c>
      <c r="C174" s="9" t="s">
        <v>636</v>
      </c>
      <c r="D174" s="10" t="s">
        <v>637</v>
      </c>
      <c r="E174" s="10" t="s">
        <v>638</v>
      </c>
      <c r="F174" s="19" t="s">
        <v>50</v>
      </c>
      <c r="G174" s="10" t="s">
        <v>95</v>
      </c>
      <c r="H174" s="19" t="s">
        <v>96</v>
      </c>
    </row>
    <row r="175" customFormat="false" ht="36" hidden="false" customHeight="true" outlineLevel="0" collapsed="false">
      <c r="A175" s="18" t="n">
        <v>171</v>
      </c>
      <c r="B175" s="12" t="s">
        <v>628</v>
      </c>
      <c r="C175" s="12" t="s">
        <v>639</v>
      </c>
      <c r="D175" s="13" t="s">
        <v>640</v>
      </c>
      <c r="E175" s="13" t="s">
        <v>641</v>
      </c>
      <c r="F175" s="18" t="s">
        <v>50</v>
      </c>
      <c r="G175" s="13" t="s">
        <v>95</v>
      </c>
      <c r="H175" s="18" t="s">
        <v>199</v>
      </c>
    </row>
    <row r="176" customFormat="false" ht="36" hidden="false" customHeight="true" outlineLevel="0" collapsed="false">
      <c r="A176" s="19" t="n">
        <v>172</v>
      </c>
      <c r="B176" s="9" t="s">
        <v>628</v>
      </c>
      <c r="C176" s="9" t="s">
        <v>642</v>
      </c>
      <c r="D176" s="10" t="s">
        <v>643</v>
      </c>
      <c r="E176" s="10" t="s">
        <v>644</v>
      </c>
      <c r="F176" s="19" t="s">
        <v>50</v>
      </c>
      <c r="G176" s="10" t="s">
        <v>645</v>
      </c>
      <c r="H176" s="19" t="s">
        <v>283</v>
      </c>
    </row>
    <row r="177" customFormat="false" ht="36" hidden="false" customHeight="true" outlineLevel="0" collapsed="false">
      <c r="A177" s="18" t="n">
        <v>173</v>
      </c>
      <c r="B177" s="12" t="s">
        <v>628</v>
      </c>
      <c r="C177" s="12" t="s">
        <v>646</v>
      </c>
      <c r="D177" s="13" t="s">
        <v>647</v>
      </c>
      <c r="E177" s="13" t="s">
        <v>648</v>
      </c>
      <c r="F177" s="18" t="s">
        <v>56</v>
      </c>
      <c r="G177" s="13" t="s">
        <v>95</v>
      </c>
      <c r="H177" s="18" t="s">
        <v>199</v>
      </c>
    </row>
    <row r="178" customFormat="false" ht="36" hidden="false" customHeight="true" outlineLevel="0" collapsed="false">
      <c r="A178" s="19" t="n">
        <v>174</v>
      </c>
      <c r="B178" s="9" t="s">
        <v>628</v>
      </c>
      <c r="C178" s="9" t="s">
        <v>649</v>
      </c>
      <c r="D178" s="10" t="s">
        <v>650</v>
      </c>
      <c r="E178" s="10" t="s">
        <v>651</v>
      </c>
      <c r="F178" s="20" t="s">
        <v>496</v>
      </c>
      <c r="G178" s="10" t="s">
        <v>95</v>
      </c>
      <c r="H178" s="19" t="s">
        <v>199</v>
      </c>
    </row>
    <row r="179" customFormat="false" ht="36" hidden="false" customHeight="true" outlineLevel="0" collapsed="false">
      <c r="A179" s="18" t="n">
        <v>175</v>
      </c>
      <c r="B179" s="12" t="s">
        <v>628</v>
      </c>
      <c r="C179" s="12" t="s">
        <v>652</v>
      </c>
      <c r="D179" s="13" t="s">
        <v>653</v>
      </c>
      <c r="E179" s="13" t="s">
        <v>654</v>
      </c>
      <c r="F179" s="18" t="s">
        <v>50</v>
      </c>
      <c r="G179" s="13" t="s">
        <v>95</v>
      </c>
      <c r="H179" s="18" t="s">
        <v>199</v>
      </c>
    </row>
    <row r="180" customFormat="false" ht="36" hidden="false" customHeight="true" outlineLevel="0" collapsed="false">
      <c r="A180" s="19" t="n">
        <v>176</v>
      </c>
      <c r="B180" s="9" t="s">
        <v>628</v>
      </c>
      <c r="C180" s="9" t="s">
        <v>655</v>
      </c>
      <c r="D180" s="10" t="s">
        <v>656</v>
      </c>
      <c r="E180" s="10" t="s">
        <v>657</v>
      </c>
      <c r="F180" s="19" t="s">
        <v>50</v>
      </c>
      <c r="G180" s="10" t="s">
        <v>95</v>
      </c>
      <c r="H180" s="19" t="s">
        <v>283</v>
      </c>
    </row>
    <row r="181" customFormat="false" ht="36" hidden="false" customHeight="true" outlineLevel="0" collapsed="false">
      <c r="A181" s="18" t="n">
        <v>177</v>
      </c>
      <c r="B181" s="12" t="s">
        <v>628</v>
      </c>
      <c r="C181" s="12" t="s">
        <v>658</v>
      </c>
      <c r="D181" s="13" t="s">
        <v>659</v>
      </c>
      <c r="E181" s="13" t="s">
        <v>99</v>
      </c>
      <c r="F181" s="18" t="s">
        <v>100</v>
      </c>
      <c r="G181" s="13" t="s">
        <v>399</v>
      </c>
      <c r="H181" s="18" t="s">
        <v>96</v>
      </c>
    </row>
    <row r="182" customFormat="false" ht="36" hidden="false" customHeight="true" outlineLevel="0" collapsed="false">
      <c r="A182" s="19" t="n">
        <v>178</v>
      </c>
      <c r="B182" s="9" t="s">
        <v>628</v>
      </c>
      <c r="C182" s="9" t="s">
        <v>660</v>
      </c>
      <c r="D182" s="10" t="s">
        <v>661</v>
      </c>
      <c r="E182" s="10" t="s">
        <v>662</v>
      </c>
      <c r="F182" s="19" t="s">
        <v>56</v>
      </c>
      <c r="G182" s="10" t="s">
        <v>95</v>
      </c>
      <c r="H182" s="19" t="s">
        <v>283</v>
      </c>
    </row>
    <row r="183" customFormat="false" ht="36" hidden="false" customHeight="true" outlineLevel="0" collapsed="false">
      <c r="A183" s="18" t="n">
        <v>179</v>
      </c>
      <c r="B183" s="12" t="s">
        <v>628</v>
      </c>
      <c r="C183" s="12" t="s">
        <v>663</v>
      </c>
      <c r="D183" s="13" t="s">
        <v>664</v>
      </c>
      <c r="E183" s="13" t="s">
        <v>99</v>
      </c>
      <c r="F183" s="18" t="s">
        <v>100</v>
      </c>
      <c r="G183" s="13" t="s">
        <v>95</v>
      </c>
      <c r="H183" s="18" t="s">
        <v>199</v>
      </c>
    </row>
    <row r="184" customFormat="false" ht="36" hidden="false" customHeight="true" outlineLevel="0" collapsed="false">
      <c r="A184" s="19" t="n">
        <v>180</v>
      </c>
      <c r="B184" s="9" t="s">
        <v>628</v>
      </c>
      <c r="C184" s="9" t="s">
        <v>665</v>
      </c>
      <c r="D184" s="10" t="s">
        <v>666</v>
      </c>
      <c r="E184" s="10" t="s">
        <v>667</v>
      </c>
      <c r="F184" s="19" t="s">
        <v>56</v>
      </c>
      <c r="G184" s="10" t="s">
        <v>377</v>
      </c>
      <c r="H184" s="19" t="s">
        <v>96</v>
      </c>
    </row>
    <row r="185" customFormat="false" ht="36" hidden="false" customHeight="true" outlineLevel="0" collapsed="false">
      <c r="A185" s="18" t="n">
        <v>181</v>
      </c>
      <c r="B185" s="12" t="s">
        <v>668</v>
      </c>
      <c r="C185" s="12" t="s">
        <v>669</v>
      </c>
      <c r="D185" s="13" t="s">
        <v>670</v>
      </c>
      <c r="E185" s="13" t="s">
        <v>99</v>
      </c>
      <c r="F185" s="18" t="s">
        <v>100</v>
      </c>
      <c r="G185" s="13" t="s">
        <v>95</v>
      </c>
      <c r="H185" s="18" t="s">
        <v>96</v>
      </c>
    </row>
    <row r="186" customFormat="false" ht="36" hidden="false" customHeight="true" outlineLevel="0" collapsed="false">
      <c r="A186" s="19" t="n">
        <v>182</v>
      </c>
      <c r="B186" s="9" t="s">
        <v>668</v>
      </c>
      <c r="C186" s="9" t="s">
        <v>671</v>
      </c>
      <c r="D186" s="10" t="s">
        <v>672</v>
      </c>
      <c r="E186" s="10" t="s">
        <v>99</v>
      </c>
      <c r="F186" s="19" t="s">
        <v>100</v>
      </c>
      <c r="G186" s="10" t="s">
        <v>95</v>
      </c>
      <c r="H186" s="19" t="s">
        <v>96</v>
      </c>
    </row>
    <row r="187" customFormat="false" ht="36" hidden="false" customHeight="true" outlineLevel="0" collapsed="false">
      <c r="A187" s="18" t="n">
        <v>183</v>
      </c>
      <c r="B187" s="12" t="s">
        <v>668</v>
      </c>
      <c r="C187" s="12" t="s">
        <v>673</v>
      </c>
      <c r="D187" s="13" t="s">
        <v>674</v>
      </c>
      <c r="E187" s="13" t="s">
        <v>675</v>
      </c>
      <c r="F187" s="18" t="s">
        <v>50</v>
      </c>
      <c r="G187" s="13" t="s">
        <v>676</v>
      </c>
      <c r="H187" s="18" t="s">
        <v>96</v>
      </c>
    </row>
    <row r="188" customFormat="false" ht="36" hidden="false" customHeight="true" outlineLevel="0" collapsed="false">
      <c r="A188" s="19" t="n">
        <v>184</v>
      </c>
      <c r="B188" s="9" t="s">
        <v>668</v>
      </c>
      <c r="C188" s="9" t="s">
        <v>677</v>
      </c>
      <c r="D188" s="10" t="s">
        <v>678</v>
      </c>
      <c r="E188" s="10" t="s">
        <v>99</v>
      </c>
      <c r="F188" s="19" t="s">
        <v>100</v>
      </c>
      <c r="G188" s="10" t="s">
        <v>95</v>
      </c>
      <c r="H188" s="19" t="s">
        <v>96</v>
      </c>
    </row>
    <row r="189" customFormat="false" ht="36" hidden="false" customHeight="true" outlineLevel="0" collapsed="false">
      <c r="A189" s="18" t="n">
        <v>185</v>
      </c>
      <c r="B189" s="12" t="s">
        <v>668</v>
      </c>
      <c r="C189" s="12" t="s">
        <v>679</v>
      </c>
      <c r="D189" s="13" t="s">
        <v>680</v>
      </c>
      <c r="E189" s="13" t="s">
        <v>681</v>
      </c>
      <c r="F189" s="18" t="s">
        <v>50</v>
      </c>
      <c r="G189" s="13" t="s">
        <v>635</v>
      </c>
      <c r="H189" s="18" t="s">
        <v>199</v>
      </c>
    </row>
    <row r="190" customFormat="false" ht="36" hidden="false" customHeight="true" outlineLevel="0" collapsed="false">
      <c r="A190" s="19" t="n">
        <v>186</v>
      </c>
      <c r="B190" s="9" t="s">
        <v>668</v>
      </c>
      <c r="C190" s="9" t="s">
        <v>682</v>
      </c>
      <c r="D190" s="10" t="s">
        <v>683</v>
      </c>
      <c r="E190" s="10" t="s">
        <v>684</v>
      </c>
      <c r="F190" s="19" t="s">
        <v>50</v>
      </c>
      <c r="G190" s="10" t="s">
        <v>95</v>
      </c>
      <c r="H190" s="19" t="s">
        <v>199</v>
      </c>
    </row>
    <row r="191" customFormat="false" ht="36" hidden="false" customHeight="true" outlineLevel="0" collapsed="false">
      <c r="A191" s="18" t="n">
        <v>187</v>
      </c>
      <c r="B191" s="12" t="s">
        <v>668</v>
      </c>
      <c r="C191" s="12" t="s">
        <v>685</v>
      </c>
      <c r="D191" s="13" t="s">
        <v>686</v>
      </c>
      <c r="E191" s="13" t="s">
        <v>687</v>
      </c>
      <c r="F191" s="18" t="s">
        <v>56</v>
      </c>
      <c r="G191" s="13" t="s">
        <v>95</v>
      </c>
      <c r="H191" s="18" t="s">
        <v>96</v>
      </c>
    </row>
    <row r="192" customFormat="false" ht="36" hidden="false" customHeight="true" outlineLevel="0" collapsed="false">
      <c r="A192" s="19" t="n">
        <v>188</v>
      </c>
      <c r="B192" s="9" t="s">
        <v>668</v>
      </c>
      <c r="C192" s="9" t="s">
        <v>688</v>
      </c>
      <c r="D192" s="10" t="s">
        <v>689</v>
      </c>
      <c r="E192" s="10" t="s">
        <v>690</v>
      </c>
      <c r="F192" s="19" t="s">
        <v>50</v>
      </c>
      <c r="G192" s="10" t="s">
        <v>691</v>
      </c>
      <c r="H192" s="19" t="s">
        <v>199</v>
      </c>
    </row>
    <row r="193" customFormat="false" ht="36" hidden="false" customHeight="true" outlineLevel="0" collapsed="false">
      <c r="A193" s="18" t="n">
        <v>189</v>
      </c>
      <c r="B193" s="12" t="s">
        <v>668</v>
      </c>
      <c r="C193" s="12" t="s">
        <v>692</v>
      </c>
      <c r="D193" s="13" t="s">
        <v>693</v>
      </c>
      <c r="E193" s="13" t="s">
        <v>694</v>
      </c>
      <c r="F193" s="18" t="s">
        <v>50</v>
      </c>
      <c r="G193" s="13" t="s">
        <v>691</v>
      </c>
      <c r="H193" s="18" t="s">
        <v>283</v>
      </c>
    </row>
    <row r="194" customFormat="false" ht="36" hidden="false" customHeight="true" outlineLevel="0" collapsed="false">
      <c r="A194" s="19" t="n">
        <v>190</v>
      </c>
      <c r="B194" s="9" t="s">
        <v>668</v>
      </c>
      <c r="C194" s="9" t="s">
        <v>695</v>
      </c>
      <c r="D194" s="10" t="s">
        <v>696</v>
      </c>
      <c r="E194" s="10" t="s">
        <v>697</v>
      </c>
      <c r="F194" s="19" t="s">
        <v>50</v>
      </c>
      <c r="G194" s="10" t="s">
        <v>95</v>
      </c>
      <c r="H194" s="19" t="s">
        <v>199</v>
      </c>
    </row>
    <row r="195" customFormat="false" ht="36" hidden="false" customHeight="true" outlineLevel="0" collapsed="false">
      <c r="A195" s="18" t="n">
        <v>191</v>
      </c>
      <c r="B195" s="12" t="s">
        <v>668</v>
      </c>
      <c r="C195" s="12" t="s">
        <v>698</v>
      </c>
      <c r="D195" s="13" t="s">
        <v>699</v>
      </c>
      <c r="E195" s="13" t="s">
        <v>99</v>
      </c>
      <c r="F195" s="18" t="s">
        <v>100</v>
      </c>
      <c r="G195" s="13" t="s">
        <v>95</v>
      </c>
      <c r="H195" s="18" t="s">
        <v>199</v>
      </c>
    </row>
    <row r="196" customFormat="false" ht="36" hidden="false" customHeight="true" outlineLevel="0" collapsed="false">
      <c r="A196" s="19" t="n">
        <v>192</v>
      </c>
      <c r="B196" s="9" t="s">
        <v>700</v>
      </c>
      <c r="C196" s="9" t="s">
        <v>701</v>
      </c>
      <c r="D196" s="10" t="s">
        <v>702</v>
      </c>
      <c r="E196" s="10" t="s">
        <v>694</v>
      </c>
      <c r="F196" s="19" t="s">
        <v>100</v>
      </c>
      <c r="G196" s="10" t="s">
        <v>703</v>
      </c>
      <c r="H196" s="19" t="s">
        <v>199</v>
      </c>
    </row>
    <row r="197" customFormat="false" ht="36" hidden="false" customHeight="true" outlineLevel="0" collapsed="false">
      <c r="A197" s="18" t="n">
        <v>193</v>
      </c>
      <c r="B197" s="12" t="s">
        <v>700</v>
      </c>
      <c r="C197" s="12" t="s">
        <v>704</v>
      </c>
      <c r="D197" s="13" t="s">
        <v>705</v>
      </c>
      <c r="E197" s="13" t="s">
        <v>694</v>
      </c>
      <c r="F197" s="18" t="s">
        <v>100</v>
      </c>
      <c r="G197" s="13" t="s">
        <v>706</v>
      </c>
      <c r="H197" s="18" t="s">
        <v>199</v>
      </c>
    </row>
    <row r="198" customFormat="false" ht="36" hidden="false" customHeight="true" outlineLevel="0" collapsed="false">
      <c r="A198" s="19" t="n">
        <v>194</v>
      </c>
      <c r="B198" s="9" t="s">
        <v>700</v>
      </c>
      <c r="C198" s="9" t="s">
        <v>707</v>
      </c>
      <c r="D198" s="10" t="s">
        <v>708</v>
      </c>
      <c r="E198" s="10" t="s">
        <v>694</v>
      </c>
      <c r="F198" s="19" t="s">
        <v>100</v>
      </c>
      <c r="G198" s="10" t="s">
        <v>706</v>
      </c>
      <c r="H198" s="19" t="s">
        <v>199</v>
      </c>
    </row>
    <row r="199" customFormat="false" ht="36" hidden="false" customHeight="true" outlineLevel="0" collapsed="false">
      <c r="A199" s="18" t="n">
        <v>195</v>
      </c>
      <c r="B199" s="12" t="s">
        <v>700</v>
      </c>
      <c r="C199" s="12" t="s">
        <v>709</v>
      </c>
      <c r="D199" s="13" t="s">
        <v>710</v>
      </c>
      <c r="E199" s="13" t="s">
        <v>694</v>
      </c>
      <c r="F199" s="18" t="s">
        <v>100</v>
      </c>
      <c r="G199" s="13" t="s">
        <v>706</v>
      </c>
      <c r="H199" s="18" t="s">
        <v>199</v>
      </c>
    </row>
    <row r="200" customFormat="false" ht="36" hidden="false" customHeight="true" outlineLevel="0" collapsed="false">
      <c r="A200" s="19" t="n">
        <v>196</v>
      </c>
      <c r="B200" s="9" t="s">
        <v>700</v>
      </c>
      <c r="C200" s="9" t="s">
        <v>711</v>
      </c>
      <c r="D200" s="10" t="s">
        <v>712</v>
      </c>
      <c r="E200" s="10" t="s">
        <v>694</v>
      </c>
      <c r="F200" s="19" t="s">
        <v>100</v>
      </c>
      <c r="G200" s="10" t="s">
        <v>713</v>
      </c>
      <c r="H200" s="19" t="s">
        <v>199</v>
      </c>
    </row>
    <row r="201" customFormat="false" ht="36" hidden="false" customHeight="true" outlineLevel="0" collapsed="false">
      <c r="A201" s="18" t="n">
        <v>197</v>
      </c>
      <c r="B201" s="12" t="s">
        <v>700</v>
      </c>
      <c r="C201" s="12" t="s">
        <v>714</v>
      </c>
      <c r="D201" s="13" t="s">
        <v>715</v>
      </c>
      <c r="E201" s="13" t="s">
        <v>716</v>
      </c>
      <c r="F201" s="18" t="s">
        <v>100</v>
      </c>
      <c r="G201" s="13" t="s">
        <v>717</v>
      </c>
      <c r="H201" s="18" t="s">
        <v>199</v>
      </c>
    </row>
    <row r="202" customFormat="false" ht="36" hidden="false" customHeight="true" outlineLevel="0" collapsed="false">
      <c r="A202" s="19" t="n">
        <v>198</v>
      </c>
      <c r="B202" s="9" t="s">
        <v>700</v>
      </c>
      <c r="C202" s="9" t="s">
        <v>718</v>
      </c>
      <c r="D202" s="10" t="s">
        <v>719</v>
      </c>
      <c r="E202" s="10" t="s">
        <v>694</v>
      </c>
      <c r="F202" s="19" t="s">
        <v>100</v>
      </c>
      <c r="G202" s="10" t="s">
        <v>706</v>
      </c>
      <c r="H202" s="19" t="s">
        <v>199</v>
      </c>
    </row>
    <row r="203" customFormat="false" ht="36" hidden="false" customHeight="true" outlineLevel="0" collapsed="false">
      <c r="A203" s="18" t="n">
        <v>199</v>
      </c>
      <c r="B203" s="12" t="s">
        <v>700</v>
      </c>
      <c r="C203" s="12" t="s">
        <v>720</v>
      </c>
      <c r="D203" s="13" t="s">
        <v>721</v>
      </c>
      <c r="E203" s="13" t="s">
        <v>722</v>
      </c>
      <c r="F203" s="18" t="s">
        <v>100</v>
      </c>
      <c r="G203" s="13" t="s">
        <v>723</v>
      </c>
      <c r="H203" s="18" t="s">
        <v>96</v>
      </c>
    </row>
    <row r="204" customFormat="false" ht="36" hidden="false" customHeight="true" outlineLevel="0" collapsed="false">
      <c r="A204" s="19" t="n">
        <v>200</v>
      </c>
      <c r="B204" s="9" t="s">
        <v>700</v>
      </c>
      <c r="C204" s="9" t="s">
        <v>724</v>
      </c>
      <c r="D204" s="10" t="s">
        <v>725</v>
      </c>
      <c r="E204" s="10" t="s">
        <v>694</v>
      </c>
      <c r="F204" s="19" t="s">
        <v>100</v>
      </c>
      <c r="G204" s="10" t="s">
        <v>706</v>
      </c>
      <c r="H204" s="19" t="s">
        <v>199</v>
      </c>
    </row>
    <row r="205" customFormat="false" ht="36" hidden="false" customHeight="true" outlineLevel="0" collapsed="false">
      <c r="A205" s="18" t="n">
        <v>201</v>
      </c>
      <c r="B205" s="12" t="s">
        <v>700</v>
      </c>
      <c r="C205" s="12" t="s">
        <v>726</v>
      </c>
      <c r="D205" s="13" t="s">
        <v>727</v>
      </c>
      <c r="E205" s="13" t="s">
        <v>694</v>
      </c>
      <c r="F205" s="18" t="s">
        <v>100</v>
      </c>
      <c r="G205" s="13" t="s">
        <v>728</v>
      </c>
      <c r="H205" s="18" t="s">
        <v>199</v>
      </c>
    </row>
    <row r="206" customFormat="false" ht="36" hidden="false" customHeight="true" outlineLevel="0" collapsed="false">
      <c r="A206" s="19" t="n">
        <v>202</v>
      </c>
      <c r="B206" s="9" t="s">
        <v>700</v>
      </c>
      <c r="C206" s="9" t="s">
        <v>729</v>
      </c>
      <c r="D206" s="10" t="s">
        <v>730</v>
      </c>
      <c r="E206" s="10" t="s">
        <v>731</v>
      </c>
      <c r="F206" s="19" t="s">
        <v>100</v>
      </c>
      <c r="G206" s="10" t="s">
        <v>732</v>
      </c>
      <c r="H206" s="19" t="s">
        <v>96</v>
      </c>
    </row>
    <row r="207" customFormat="false" ht="36" hidden="false" customHeight="true" outlineLevel="0" collapsed="false">
      <c r="A207" s="18" t="n">
        <v>203</v>
      </c>
      <c r="B207" s="12" t="s">
        <v>700</v>
      </c>
      <c r="C207" s="12" t="s">
        <v>733</v>
      </c>
      <c r="D207" s="13" t="s">
        <v>734</v>
      </c>
      <c r="E207" s="13" t="s">
        <v>735</v>
      </c>
      <c r="F207" s="18" t="s">
        <v>100</v>
      </c>
      <c r="G207" s="13" t="s">
        <v>736</v>
      </c>
      <c r="H207" s="18" t="s">
        <v>199</v>
      </c>
    </row>
  </sheetData>
  <autoFilter ref="A4:H2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
    <col collapsed="false" customWidth="true" hidden="false" outlineLevel="0" max="5" min="3" style="0" width="12"/>
    <col collapsed="false" customWidth="true" hidden="false" outlineLevel="0" max="7" min="6" style="0" width="26"/>
  </cols>
  <sheetData>
    <row r="1" customFormat="false" ht="19.7" hidden="false" customHeight="false" outlineLevel="0" collapsed="false">
      <c r="A1" s="1" t="s">
        <v>737</v>
      </c>
    </row>
    <row r="2" customFormat="false" ht="15" hidden="false" customHeight="false" outlineLevel="0" collapsed="false">
      <c r="A2" s="3" t="s">
        <v>738</v>
      </c>
    </row>
    <row r="4" customFormat="false" ht="30" hidden="false" customHeight="true" outlineLevel="0" collapsed="false">
      <c r="A4" s="7" t="s">
        <v>84</v>
      </c>
      <c r="B4" s="7" t="s">
        <v>739</v>
      </c>
      <c r="C4" s="7" t="s">
        <v>740</v>
      </c>
      <c r="D4" s="7" t="s">
        <v>741</v>
      </c>
      <c r="E4" s="7" t="s">
        <v>742</v>
      </c>
      <c r="F4" s="7" t="s">
        <v>743</v>
      </c>
      <c r="G4" s="7" t="s">
        <v>744</v>
      </c>
    </row>
    <row r="5" customFormat="false" ht="15" hidden="false" customHeight="false" outlineLevel="0" collapsed="false">
      <c r="A5" s="21" t="s">
        <v>91</v>
      </c>
      <c r="B5" s="19" t="n">
        <f aca="false">COUNTIF('Module Matrix'!$B$5:$B$207,$A5)</f>
        <v>16</v>
      </c>
      <c r="C5" s="19" t="n">
        <f aca="false">COUNTIFS('Module Matrix'!$B$5:$B$207,$A5,'Module Matrix'!$H$5:$H$207,"H1")</f>
        <v>16</v>
      </c>
      <c r="D5" s="19" t="n">
        <f aca="false">COUNTIFS('Module Matrix'!$B$5:$B$207,$A5,'Module Matrix'!$H$5:$H$207,"H2")</f>
        <v>0</v>
      </c>
      <c r="E5" s="19" t="n">
        <f aca="false">COUNTIFS('Module Matrix'!$B$5:$B$207,$A5,'Module Matrix'!$H$5:$H$207,"H3")</f>
        <v>0</v>
      </c>
      <c r="F5" s="19" t="n">
        <f aca="false">COUNTIFS('Module Matrix'!$B$5:$B$207,$A5,'Module Matrix'!$F$5:$F$207,"n/a")</f>
        <v>4</v>
      </c>
      <c r="G5" s="19" t="n">
        <f aca="false">COUNTIFS('Module Matrix'!$B$5:$B$207,$A5,'Module Matrix'!$F$5:$F$207,"*hard cap*")</f>
        <v>0</v>
      </c>
    </row>
    <row r="6" customFormat="false" ht="15" hidden="false" customHeight="false" outlineLevel="0" collapsed="false">
      <c r="A6" s="21" t="s">
        <v>141</v>
      </c>
      <c r="B6" s="19" t="n">
        <f aca="false">COUNTIF('Module Matrix'!$B$5:$B$207,$A6)</f>
        <v>16</v>
      </c>
      <c r="C6" s="19" t="n">
        <f aca="false">COUNTIFS('Module Matrix'!$B$5:$B$207,$A6,'Module Matrix'!$H$5:$H$207,"H1")</f>
        <v>16</v>
      </c>
      <c r="D6" s="19" t="n">
        <f aca="false">COUNTIFS('Module Matrix'!$B$5:$B$207,$A6,'Module Matrix'!$H$5:$H$207,"H2")</f>
        <v>0</v>
      </c>
      <c r="E6" s="19" t="n">
        <f aca="false">COUNTIFS('Module Matrix'!$B$5:$B$207,$A6,'Module Matrix'!$H$5:$H$207,"H3")</f>
        <v>0</v>
      </c>
      <c r="F6" s="19" t="n">
        <f aca="false">COUNTIFS('Module Matrix'!$B$5:$B$207,$A6,'Module Matrix'!$F$5:$F$207,"n/a")</f>
        <v>1</v>
      </c>
      <c r="G6" s="19" t="n">
        <f aca="false">COUNTIFS('Module Matrix'!$B$5:$B$207,$A6,'Module Matrix'!$F$5:$F$207,"*hard cap*")</f>
        <v>0</v>
      </c>
    </row>
    <row r="7" customFormat="false" ht="15" hidden="false" customHeight="false" outlineLevel="0" collapsed="false">
      <c r="A7" s="21" t="s">
        <v>195</v>
      </c>
      <c r="B7" s="19" t="n">
        <f aca="false">COUNTIF('Module Matrix'!$B$5:$B$207,$A7)</f>
        <v>15</v>
      </c>
      <c r="C7" s="19" t="n">
        <f aca="false">COUNTIFS('Module Matrix'!$B$5:$B$207,$A7,'Module Matrix'!$H$5:$H$207,"H1")</f>
        <v>0</v>
      </c>
      <c r="D7" s="19" t="n">
        <f aca="false">COUNTIFS('Module Matrix'!$B$5:$B$207,$A7,'Module Matrix'!$H$5:$H$207,"H2")</f>
        <v>15</v>
      </c>
      <c r="E7" s="19" t="n">
        <f aca="false">COUNTIFS('Module Matrix'!$B$5:$B$207,$A7,'Module Matrix'!$H$5:$H$207,"H3")</f>
        <v>0</v>
      </c>
      <c r="F7" s="19" t="n">
        <f aca="false">COUNTIFS('Module Matrix'!$B$5:$B$207,$A7,'Module Matrix'!$F$5:$F$207,"n/a")</f>
        <v>2</v>
      </c>
      <c r="G7" s="19" t="n">
        <f aca="false">COUNTIFS('Module Matrix'!$B$5:$B$207,$A7,'Module Matrix'!$F$5:$F$207,"*hard cap*")</f>
        <v>2</v>
      </c>
    </row>
    <row r="8" customFormat="false" ht="15" hidden="false" customHeight="false" outlineLevel="0" collapsed="false">
      <c r="A8" s="21" t="s">
        <v>244</v>
      </c>
      <c r="B8" s="19" t="n">
        <f aca="false">COUNTIF('Module Matrix'!$B$5:$B$207,$A8)</f>
        <v>13</v>
      </c>
      <c r="C8" s="19" t="n">
        <f aca="false">COUNTIFS('Module Matrix'!$B$5:$B$207,$A8,'Module Matrix'!$H$5:$H$207,"H1")</f>
        <v>8</v>
      </c>
      <c r="D8" s="19" t="n">
        <f aca="false">COUNTIFS('Module Matrix'!$B$5:$B$207,$A8,'Module Matrix'!$H$5:$H$207,"H2")</f>
        <v>4</v>
      </c>
      <c r="E8" s="19" t="n">
        <f aca="false">COUNTIFS('Module Matrix'!$B$5:$B$207,$A8,'Module Matrix'!$H$5:$H$207,"H3")</f>
        <v>1</v>
      </c>
      <c r="F8" s="19" t="n">
        <f aca="false">COUNTIFS('Module Matrix'!$B$5:$B$207,$A8,'Module Matrix'!$F$5:$F$207,"n/a")</f>
        <v>1</v>
      </c>
      <c r="G8" s="19" t="n">
        <f aca="false">COUNTIFS('Module Matrix'!$B$5:$B$207,$A8,'Module Matrix'!$F$5:$F$207,"*hard cap*")</f>
        <v>3</v>
      </c>
    </row>
    <row r="9" customFormat="false" ht="15" hidden="false" customHeight="false" outlineLevel="0" collapsed="false">
      <c r="A9" s="21" t="s">
        <v>284</v>
      </c>
      <c r="B9" s="19" t="n">
        <f aca="false">COUNTIF('Module Matrix'!$B$5:$B$207,$A9)</f>
        <v>12</v>
      </c>
      <c r="C9" s="19" t="n">
        <f aca="false">COUNTIFS('Module Matrix'!$B$5:$B$207,$A9,'Module Matrix'!$H$5:$H$207,"H1")</f>
        <v>10</v>
      </c>
      <c r="D9" s="19" t="n">
        <f aca="false">COUNTIFS('Module Matrix'!$B$5:$B$207,$A9,'Module Matrix'!$H$5:$H$207,"H2")</f>
        <v>2</v>
      </c>
      <c r="E9" s="19" t="n">
        <f aca="false">COUNTIFS('Module Matrix'!$B$5:$B$207,$A9,'Module Matrix'!$H$5:$H$207,"H3")</f>
        <v>0</v>
      </c>
      <c r="F9" s="19" t="n">
        <f aca="false">COUNTIFS('Module Matrix'!$B$5:$B$207,$A9,'Module Matrix'!$F$5:$F$207,"n/a")</f>
        <v>2</v>
      </c>
      <c r="G9" s="19" t="n">
        <f aca="false">COUNTIFS('Module Matrix'!$B$5:$B$207,$A9,'Module Matrix'!$F$5:$F$207,"*hard cap*")</f>
        <v>0</v>
      </c>
    </row>
    <row r="10" customFormat="false" ht="15" hidden="false" customHeight="false" outlineLevel="0" collapsed="false">
      <c r="A10" s="21" t="s">
        <v>322</v>
      </c>
      <c r="B10" s="19" t="n">
        <f aca="false">COUNTIF('Module Matrix'!$B$5:$B$207,$A10)</f>
        <v>12</v>
      </c>
      <c r="C10" s="19" t="n">
        <f aca="false">COUNTIFS('Module Matrix'!$B$5:$B$207,$A10,'Module Matrix'!$H$5:$H$207,"H1")</f>
        <v>7</v>
      </c>
      <c r="D10" s="19" t="n">
        <f aca="false">COUNTIFS('Module Matrix'!$B$5:$B$207,$A10,'Module Matrix'!$H$5:$H$207,"H2")</f>
        <v>5</v>
      </c>
      <c r="E10" s="19" t="n">
        <f aca="false">COUNTIFS('Module Matrix'!$B$5:$B$207,$A10,'Module Matrix'!$H$5:$H$207,"H3")</f>
        <v>0</v>
      </c>
      <c r="F10" s="19" t="n">
        <f aca="false">COUNTIFS('Module Matrix'!$B$5:$B$207,$A10,'Module Matrix'!$F$5:$F$207,"n/a")</f>
        <v>0</v>
      </c>
      <c r="G10" s="19" t="n">
        <f aca="false">COUNTIFS('Module Matrix'!$B$5:$B$207,$A10,'Module Matrix'!$F$5:$F$207,"*hard cap*")</f>
        <v>0</v>
      </c>
    </row>
    <row r="11" customFormat="false" ht="15" hidden="false" customHeight="false" outlineLevel="0" collapsed="false">
      <c r="A11" s="21" t="s">
        <v>360</v>
      </c>
      <c r="B11" s="19" t="n">
        <f aca="false">COUNTIF('Module Matrix'!$B$5:$B$207,$A11)</f>
        <v>18</v>
      </c>
      <c r="C11" s="19" t="n">
        <f aca="false">COUNTIFS('Module Matrix'!$B$5:$B$207,$A11,'Module Matrix'!$H$5:$H$207,"H1")</f>
        <v>18</v>
      </c>
      <c r="D11" s="19" t="n">
        <f aca="false">COUNTIFS('Module Matrix'!$B$5:$B$207,$A11,'Module Matrix'!$H$5:$H$207,"H2")</f>
        <v>0</v>
      </c>
      <c r="E11" s="19" t="n">
        <f aca="false">COUNTIFS('Module Matrix'!$B$5:$B$207,$A11,'Module Matrix'!$H$5:$H$207,"H3")</f>
        <v>0</v>
      </c>
      <c r="F11" s="19" t="n">
        <f aca="false">COUNTIFS('Module Matrix'!$B$5:$B$207,$A11,'Module Matrix'!$F$5:$F$207,"n/a")</f>
        <v>4</v>
      </c>
      <c r="G11" s="19" t="n">
        <f aca="false">COUNTIFS('Module Matrix'!$B$5:$B$207,$A11,'Module Matrix'!$F$5:$F$207,"*hard cap*")</f>
        <v>1</v>
      </c>
    </row>
    <row r="12" customFormat="false" ht="15" hidden="false" customHeight="false" outlineLevel="0" collapsed="false">
      <c r="A12" s="21" t="s">
        <v>419</v>
      </c>
      <c r="B12" s="19" t="n">
        <f aca="false">COUNTIF('Module Matrix'!$B$5:$B$207,$A12)</f>
        <v>10</v>
      </c>
      <c r="C12" s="19" t="n">
        <f aca="false">COUNTIFS('Module Matrix'!$B$5:$B$207,$A12,'Module Matrix'!$H$5:$H$207,"H1")</f>
        <v>0</v>
      </c>
      <c r="D12" s="19" t="n">
        <f aca="false">COUNTIFS('Module Matrix'!$B$5:$B$207,$A12,'Module Matrix'!$H$5:$H$207,"H2")</f>
        <v>10</v>
      </c>
      <c r="E12" s="19" t="n">
        <f aca="false">COUNTIFS('Module Matrix'!$B$5:$B$207,$A12,'Module Matrix'!$H$5:$H$207,"H3")</f>
        <v>0</v>
      </c>
      <c r="F12" s="19" t="n">
        <f aca="false">COUNTIFS('Module Matrix'!$B$5:$B$207,$A12,'Module Matrix'!$F$5:$F$207,"n/a")</f>
        <v>0</v>
      </c>
      <c r="G12" s="19" t="n">
        <f aca="false">COUNTIFS('Module Matrix'!$B$5:$B$207,$A12,'Module Matrix'!$F$5:$F$207,"*hard cap*")</f>
        <v>0</v>
      </c>
    </row>
    <row r="13" customFormat="false" ht="15" hidden="false" customHeight="false" outlineLevel="0" collapsed="false">
      <c r="A13" s="21" t="s">
        <v>450</v>
      </c>
      <c r="B13" s="19" t="n">
        <f aca="false">COUNTIF('Module Matrix'!$B$5:$B$207,$A13)</f>
        <v>9</v>
      </c>
      <c r="C13" s="19" t="n">
        <f aca="false">COUNTIFS('Module Matrix'!$B$5:$B$207,$A13,'Module Matrix'!$H$5:$H$207,"H1")</f>
        <v>0</v>
      </c>
      <c r="D13" s="19" t="n">
        <f aca="false">COUNTIFS('Module Matrix'!$B$5:$B$207,$A13,'Module Matrix'!$H$5:$H$207,"H2")</f>
        <v>7</v>
      </c>
      <c r="E13" s="19" t="n">
        <f aca="false">COUNTIFS('Module Matrix'!$B$5:$B$207,$A13,'Module Matrix'!$H$5:$H$207,"H3")</f>
        <v>2</v>
      </c>
      <c r="F13" s="19" t="n">
        <f aca="false">COUNTIFS('Module Matrix'!$B$5:$B$207,$A13,'Module Matrix'!$F$5:$F$207,"n/a")</f>
        <v>0</v>
      </c>
      <c r="G13" s="19" t="n">
        <f aca="false">COUNTIFS('Module Matrix'!$B$5:$B$207,$A13,'Module Matrix'!$F$5:$F$207,"*hard cap*")</f>
        <v>1</v>
      </c>
    </row>
    <row r="14" customFormat="false" ht="15" hidden="false" customHeight="false" outlineLevel="0" collapsed="false">
      <c r="A14" s="21" t="s">
        <v>480</v>
      </c>
      <c r="B14" s="19" t="n">
        <f aca="false">COUNTIF('Module Matrix'!$B$5:$B$207,$A14)</f>
        <v>9</v>
      </c>
      <c r="C14" s="19" t="n">
        <f aca="false">COUNTIFS('Module Matrix'!$B$5:$B$207,$A14,'Module Matrix'!$H$5:$H$207,"H1")</f>
        <v>0</v>
      </c>
      <c r="D14" s="19" t="n">
        <f aca="false">COUNTIFS('Module Matrix'!$B$5:$B$207,$A14,'Module Matrix'!$H$5:$H$207,"H2")</f>
        <v>9</v>
      </c>
      <c r="E14" s="19" t="n">
        <f aca="false">COUNTIFS('Module Matrix'!$B$5:$B$207,$A14,'Module Matrix'!$H$5:$H$207,"H3")</f>
        <v>0</v>
      </c>
      <c r="F14" s="19" t="n">
        <f aca="false">COUNTIFS('Module Matrix'!$B$5:$B$207,$A14,'Module Matrix'!$F$5:$F$207,"n/a")</f>
        <v>1</v>
      </c>
      <c r="G14" s="19" t="n">
        <f aca="false">COUNTIFS('Module Matrix'!$B$5:$B$207,$A14,'Module Matrix'!$F$5:$F$207,"*hard cap*")</f>
        <v>3</v>
      </c>
    </row>
    <row r="15" customFormat="false" ht="15" hidden="false" customHeight="false" outlineLevel="0" collapsed="false">
      <c r="A15" s="21" t="s">
        <v>508</v>
      </c>
      <c r="B15" s="19" t="n">
        <f aca="false">COUNTIF('Module Matrix'!$B$5:$B$207,$A15)</f>
        <v>13</v>
      </c>
      <c r="C15" s="19" t="n">
        <f aca="false">COUNTIFS('Module Matrix'!$B$5:$B$207,$A15,'Module Matrix'!$H$5:$H$207,"H1")</f>
        <v>0</v>
      </c>
      <c r="D15" s="19" t="n">
        <f aca="false">COUNTIFS('Module Matrix'!$B$5:$B$207,$A15,'Module Matrix'!$H$5:$H$207,"H2")</f>
        <v>11</v>
      </c>
      <c r="E15" s="19" t="n">
        <f aca="false">COUNTIFS('Module Matrix'!$B$5:$B$207,$A15,'Module Matrix'!$H$5:$H$207,"H3")</f>
        <v>2</v>
      </c>
      <c r="F15" s="19" t="n">
        <f aca="false">COUNTIFS('Module Matrix'!$B$5:$B$207,$A15,'Module Matrix'!$F$5:$F$207,"n/a")</f>
        <v>0</v>
      </c>
      <c r="G15" s="19" t="n">
        <f aca="false">COUNTIFS('Module Matrix'!$B$5:$B$207,$A15,'Module Matrix'!$F$5:$F$207,"*hard cap*")</f>
        <v>2</v>
      </c>
    </row>
    <row r="16" customFormat="false" ht="15" hidden="false" customHeight="false" outlineLevel="0" collapsed="false">
      <c r="A16" s="21" t="s">
        <v>552</v>
      </c>
      <c r="B16" s="19" t="n">
        <f aca="false">COUNTIF('Module Matrix'!$B$5:$B$207,$A16)</f>
        <v>14</v>
      </c>
      <c r="C16" s="19" t="n">
        <f aca="false">COUNTIFS('Module Matrix'!$B$5:$B$207,$A16,'Module Matrix'!$H$5:$H$207,"H1")</f>
        <v>3</v>
      </c>
      <c r="D16" s="19" t="n">
        <f aca="false">COUNTIFS('Module Matrix'!$B$5:$B$207,$A16,'Module Matrix'!$H$5:$H$207,"H2")</f>
        <v>10</v>
      </c>
      <c r="E16" s="19" t="n">
        <f aca="false">COUNTIFS('Module Matrix'!$B$5:$B$207,$A16,'Module Matrix'!$H$5:$H$207,"H3")</f>
        <v>1</v>
      </c>
      <c r="F16" s="19" t="n">
        <f aca="false">COUNTIFS('Module Matrix'!$B$5:$B$207,$A16,'Module Matrix'!$F$5:$F$207,"n/a")</f>
        <v>2</v>
      </c>
      <c r="G16" s="19" t="n">
        <f aca="false">COUNTIFS('Module Matrix'!$B$5:$B$207,$A16,'Module Matrix'!$F$5:$F$207,"*hard cap*")</f>
        <v>2</v>
      </c>
    </row>
    <row r="17" customFormat="false" ht="15" hidden="false" customHeight="false" outlineLevel="0" collapsed="false">
      <c r="A17" s="21" t="s">
        <v>596</v>
      </c>
      <c r="B17" s="19" t="n">
        <f aca="false">COUNTIF('Module Matrix'!$B$5:$B$207,$A17)</f>
        <v>10</v>
      </c>
      <c r="C17" s="19" t="n">
        <f aca="false">COUNTIFS('Module Matrix'!$B$5:$B$207,$A17,'Module Matrix'!$H$5:$H$207,"H1")</f>
        <v>3</v>
      </c>
      <c r="D17" s="19" t="n">
        <f aca="false">COUNTIFS('Module Matrix'!$B$5:$B$207,$A17,'Module Matrix'!$H$5:$H$207,"H2")</f>
        <v>6</v>
      </c>
      <c r="E17" s="19" t="n">
        <f aca="false">COUNTIFS('Module Matrix'!$B$5:$B$207,$A17,'Module Matrix'!$H$5:$H$207,"H3")</f>
        <v>1</v>
      </c>
      <c r="F17" s="19" t="n">
        <f aca="false">COUNTIFS('Module Matrix'!$B$5:$B$207,$A17,'Module Matrix'!$F$5:$F$207,"n/a")</f>
        <v>1</v>
      </c>
      <c r="G17" s="19" t="n">
        <f aca="false">COUNTIFS('Module Matrix'!$B$5:$B$207,$A17,'Module Matrix'!$F$5:$F$207,"*hard cap*")</f>
        <v>0</v>
      </c>
    </row>
    <row r="18" customFormat="false" ht="15" hidden="false" customHeight="false" outlineLevel="0" collapsed="false">
      <c r="A18" s="21" t="s">
        <v>628</v>
      </c>
      <c r="B18" s="19" t="n">
        <f aca="false">COUNTIF('Module Matrix'!$B$5:$B$207,$A18)</f>
        <v>13</v>
      </c>
      <c r="C18" s="19" t="n">
        <f aca="false">COUNTIFS('Module Matrix'!$B$5:$B$207,$A18,'Module Matrix'!$H$5:$H$207,"H1")</f>
        <v>5</v>
      </c>
      <c r="D18" s="19" t="n">
        <f aca="false">COUNTIFS('Module Matrix'!$B$5:$B$207,$A18,'Module Matrix'!$H$5:$H$207,"H2")</f>
        <v>5</v>
      </c>
      <c r="E18" s="19" t="n">
        <f aca="false">COUNTIFS('Module Matrix'!$B$5:$B$207,$A18,'Module Matrix'!$H$5:$H$207,"H3")</f>
        <v>3</v>
      </c>
      <c r="F18" s="19" t="n">
        <f aca="false">COUNTIFS('Module Matrix'!$B$5:$B$207,$A18,'Module Matrix'!$F$5:$F$207,"n/a")</f>
        <v>2</v>
      </c>
      <c r="G18" s="19" t="n">
        <f aca="false">COUNTIFS('Module Matrix'!$B$5:$B$207,$A18,'Module Matrix'!$F$5:$F$207,"*hard cap*")</f>
        <v>1</v>
      </c>
    </row>
    <row r="19" customFormat="false" ht="15" hidden="false" customHeight="false" outlineLevel="0" collapsed="false">
      <c r="A19" s="21" t="s">
        <v>668</v>
      </c>
      <c r="B19" s="19" t="n">
        <f aca="false">COUNTIF('Module Matrix'!$B$5:$B$207,$A19)</f>
        <v>11</v>
      </c>
      <c r="C19" s="19" t="n">
        <f aca="false">COUNTIFS('Module Matrix'!$B$5:$B$207,$A19,'Module Matrix'!$H$5:$H$207,"H1")</f>
        <v>5</v>
      </c>
      <c r="D19" s="19" t="n">
        <f aca="false">COUNTIFS('Module Matrix'!$B$5:$B$207,$A19,'Module Matrix'!$H$5:$H$207,"H2")</f>
        <v>5</v>
      </c>
      <c r="E19" s="19" t="n">
        <f aca="false">COUNTIFS('Module Matrix'!$B$5:$B$207,$A19,'Module Matrix'!$H$5:$H$207,"H3")</f>
        <v>1</v>
      </c>
      <c r="F19" s="19" t="n">
        <f aca="false">COUNTIFS('Module Matrix'!$B$5:$B$207,$A19,'Module Matrix'!$F$5:$F$207,"n/a")</f>
        <v>4</v>
      </c>
      <c r="G19" s="19" t="n">
        <f aca="false">COUNTIFS('Module Matrix'!$B$5:$B$207,$A19,'Module Matrix'!$F$5:$F$207,"*hard cap*")</f>
        <v>0</v>
      </c>
    </row>
    <row r="20" customFormat="false" ht="15" hidden="false" customHeight="false" outlineLevel="0" collapsed="false">
      <c r="A20" s="21" t="s">
        <v>700</v>
      </c>
      <c r="B20" s="19" t="n">
        <f aca="false">COUNTIF('Module Matrix'!$B$5:$B$207,$A20)</f>
        <v>12</v>
      </c>
      <c r="C20" s="19" t="n">
        <f aca="false">COUNTIFS('Module Matrix'!$B$5:$B$207,$A20,'Module Matrix'!$H$5:$H$207,"H1")</f>
        <v>2</v>
      </c>
      <c r="D20" s="19" t="n">
        <f aca="false">COUNTIFS('Module Matrix'!$B$5:$B$207,$A20,'Module Matrix'!$H$5:$H$207,"H2")</f>
        <v>10</v>
      </c>
      <c r="E20" s="19" t="n">
        <f aca="false">COUNTIFS('Module Matrix'!$B$5:$B$207,$A20,'Module Matrix'!$H$5:$H$207,"H3")</f>
        <v>0</v>
      </c>
      <c r="F20" s="19" t="n">
        <f aca="false">COUNTIFS('Module Matrix'!$B$5:$B$207,$A20,'Module Matrix'!$F$5:$F$207,"n/a")</f>
        <v>12</v>
      </c>
      <c r="G20" s="19" t="n">
        <f aca="false">COUNTIFS('Module Matrix'!$B$5:$B$207,$A20,'Module Matrix'!$F$5:$F$207,"*hard cap*")</f>
        <v>0</v>
      </c>
    </row>
    <row r="21" customFormat="false" ht="15" hidden="false" customHeight="false" outlineLevel="0" collapsed="false">
      <c r="A21" s="22" t="s">
        <v>745</v>
      </c>
      <c r="B21" s="7" t="n">
        <f aca="false">SUM(B5:B20)</f>
        <v>203</v>
      </c>
      <c r="C21" s="7" t="n">
        <f aca="false">SUM(C5:C20)</f>
        <v>93</v>
      </c>
      <c r="D21" s="7" t="n">
        <f aca="false">SUM(D5:D20)</f>
        <v>99</v>
      </c>
      <c r="E21" s="7" t="n">
        <f aca="false">SUM(E5:E20)</f>
        <v>11</v>
      </c>
      <c r="F21" s="7" t="n">
        <f aca="false">SUM(F5:F20)</f>
        <v>36</v>
      </c>
      <c r="G21" s="7" t="n">
        <f aca="false">SUM(G5:G20)</f>
        <v>15</v>
      </c>
    </row>
    <row r="23" customFormat="false" ht="15" hidden="false" customHeight="false" outlineLevel="0" collapsed="false">
      <c r="A23" s="6" t="s">
        <v>746</v>
      </c>
    </row>
    <row r="24" customFormat="false" ht="27.75" hidden="false" customHeight="true" outlineLevel="0" collapsed="false">
      <c r="A24" s="17" t="s">
        <v>747</v>
      </c>
      <c r="B24" s="17"/>
      <c r="C24" s="17"/>
      <c r="D24" s="17"/>
      <c r="E24" s="17"/>
      <c r="F24" s="17"/>
      <c r="G24" s="17"/>
    </row>
    <row r="25" customFormat="false" ht="27.75" hidden="false" customHeight="true" outlineLevel="0" collapsed="false">
      <c r="A25" s="17" t="s">
        <v>748</v>
      </c>
      <c r="B25" s="17"/>
      <c r="C25" s="17"/>
      <c r="D25" s="17"/>
      <c r="E25" s="17"/>
      <c r="F25" s="17"/>
      <c r="G25" s="17"/>
    </row>
    <row r="26" customFormat="false" ht="27.75" hidden="false" customHeight="true" outlineLevel="0" collapsed="false">
      <c r="A26" s="17" t="s">
        <v>749</v>
      </c>
      <c r="B26" s="17"/>
      <c r="C26" s="17"/>
      <c r="D26" s="17"/>
      <c r="E26" s="17"/>
      <c r="F26" s="17"/>
      <c r="G26" s="17"/>
    </row>
    <row r="27" customFormat="false" ht="27.75" hidden="false" customHeight="true" outlineLevel="0" collapsed="false">
      <c r="A27" s="17" t="s">
        <v>750</v>
      </c>
      <c r="B27" s="17"/>
      <c r="C27" s="17"/>
      <c r="D27" s="17"/>
      <c r="E27" s="17"/>
      <c r="F27" s="17"/>
      <c r="G27" s="17"/>
    </row>
  </sheetData>
  <mergeCells count="4">
    <mergeCell ref="A24:G24"/>
    <mergeCell ref="A25:G25"/>
    <mergeCell ref="A26:G26"/>
    <mergeCell ref="A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62"/>
    <col collapsed="false" customWidth="true" hidden="false" outlineLevel="0" max="4" min="4" style="0" width="24"/>
    <col collapsed="false" customWidth="true" hidden="false" outlineLevel="0" max="5" min="5" style="0" width="16"/>
    <col collapsed="false" customWidth="true" hidden="false" outlineLevel="0" max="6" min="6" style="0" width="13"/>
  </cols>
  <sheetData>
    <row r="1" customFormat="false" ht="19.7" hidden="false" customHeight="false" outlineLevel="0" collapsed="false">
      <c r="A1" s="1" t="s">
        <v>751</v>
      </c>
    </row>
    <row r="2" customFormat="false" ht="15" hidden="false" customHeight="false" outlineLevel="0" collapsed="false">
      <c r="A2" s="3" t="s">
        <v>752</v>
      </c>
    </row>
    <row r="4" customFormat="false" ht="30" hidden="false" customHeight="true" outlineLevel="0" collapsed="false">
      <c r="A4" s="7" t="s">
        <v>753</v>
      </c>
      <c r="B4" s="7" t="s">
        <v>754</v>
      </c>
      <c r="C4" s="7" t="s">
        <v>755</v>
      </c>
      <c r="D4" s="7" t="s">
        <v>756</v>
      </c>
      <c r="E4" s="7" t="s">
        <v>88</v>
      </c>
      <c r="F4" s="7" t="s">
        <v>757</v>
      </c>
    </row>
    <row r="5" customFormat="false" ht="42" hidden="false" customHeight="true" outlineLevel="0" collapsed="false">
      <c r="A5" s="13" t="s">
        <v>758</v>
      </c>
      <c r="B5" s="12" t="s">
        <v>759</v>
      </c>
      <c r="C5" s="13" t="s">
        <v>760</v>
      </c>
      <c r="D5" s="13" t="s">
        <v>761</v>
      </c>
      <c r="E5" s="18" t="s">
        <v>50</v>
      </c>
      <c r="F5" s="18" t="s">
        <v>199</v>
      </c>
    </row>
    <row r="6" customFormat="false" ht="42" hidden="false" customHeight="true" outlineLevel="0" collapsed="false">
      <c r="A6" s="10" t="s">
        <v>758</v>
      </c>
      <c r="B6" s="9" t="s">
        <v>762</v>
      </c>
      <c r="C6" s="10" t="s">
        <v>763</v>
      </c>
      <c r="D6" s="10" t="s">
        <v>764</v>
      </c>
      <c r="E6" s="19" t="s">
        <v>50</v>
      </c>
      <c r="F6" s="19" t="s">
        <v>199</v>
      </c>
    </row>
    <row r="7" customFormat="false" ht="42" hidden="false" customHeight="true" outlineLevel="0" collapsed="false">
      <c r="A7" s="13" t="s">
        <v>758</v>
      </c>
      <c r="B7" s="12" t="s">
        <v>765</v>
      </c>
      <c r="C7" s="13" t="s">
        <v>766</v>
      </c>
      <c r="D7" s="13" t="s">
        <v>767</v>
      </c>
      <c r="E7" s="18" t="s">
        <v>50</v>
      </c>
      <c r="F7" s="18" t="s">
        <v>199</v>
      </c>
    </row>
    <row r="8" customFormat="false" ht="42" hidden="false" customHeight="true" outlineLevel="0" collapsed="false">
      <c r="A8" s="10" t="s">
        <v>758</v>
      </c>
      <c r="B8" s="9" t="s">
        <v>768</v>
      </c>
      <c r="C8" s="10" t="s">
        <v>769</v>
      </c>
      <c r="D8" s="10" t="s">
        <v>764</v>
      </c>
      <c r="E8" s="19" t="s">
        <v>44</v>
      </c>
      <c r="F8" s="19" t="s">
        <v>199</v>
      </c>
    </row>
    <row r="9" customFormat="false" ht="42" hidden="false" customHeight="true" outlineLevel="0" collapsed="false">
      <c r="A9" s="13" t="s">
        <v>770</v>
      </c>
      <c r="B9" s="12" t="s">
        <v>771</v>
      </c>
      <c r="C9" s="13" t="s">
        <v>772</v>
      </c>
      <c r="D9" s="13" t="s">
        <v>773</v>
      </c>
      <c r="E9" s="18" t="s">
        <v>56</v>
      </c>
      <c r="F9" s="18" t="s">
        <v>199</v>
      </c>
    </row>
    <row r="10" customFormat="false" ht="42" hidden="false" customHeight="true" outlineLevel="0" collapsed="false">
      <c r="A10" s="10" t="s">
        <v>770</v>
      </c>
      <c r="B10" s="9" t="s">
        <v>774</v>
      </c>
      <c r="C10" s="10" t="s">
        <v>775</v>
      </c>
      <c r="D10" s="10" t="s">
        <v>773</v>
      </c>
      <c r="E10" s="19" t="s">
        <v>50</v>
      </c>
      <c r="F10" s="19" t="s">
        <v>199</v>
      </c>
    </row>
    <row r="11" customFormat="false" ht="42" hidden="false" customHeight="true" outlineLevel="0" collapsed="false">
      <c r="A11" s="13" t="s">
        <v>770</v>
      </c>
      <c r="B11" s="12" t="s">
        <v>776</v>
      </c>
      <c r="C11" s="13" t="s">
        <v>777</v>
      </c>
      <c r="D11" s="13" t="s">
        <v>764</v>
      </c>
      <c r="E11" s="18" t="s">
        <v>44</v>
      </c>
      <c r="F11" s="18" t="s">
        <v>199</v>
      </c>
    </row>
    <row r="12" customFormat="false" ht="42" hidden="false" customHeight="true" outlineLevel="0" collapsed="false">
      <c r="A12" s="10" t="s">
        <v>778</v>
      </c>
      <c r="B12" s="9" t="s">
        <v>779</v>
      </c>
      <c r="C12" s="10" t="s">
        <v>780</v>
      </c>
      <c r="D12" s="10" t="s">
        <v>781</v>
      </c>
      <c r="E12" s="19" t="s">
        <v>56</v>
      </c>
      <c r="F12" s="19" t="s">
        <v>199</v>
      </c>
    </row>
    <row r="13" customFormat="false" ht="42" hidden="false" customHeight="true" outlineLevel="0" collapsed="false">
      <c r="A13" s="13" t="s">
        <v>778</v>
      </c>
      <c r="B13" s="12" t="s">
        <v>782</v>
      </c>
      <c r="C13" s="13" t="s">
        <v>783</v>
      </c>
      <c r="D13" s="13" t="s">
        <v>784</v>
      </c>
      <c r="E13" s="18" t="s">
        <v>50</v>
      </c>
      <c r="F13" s="18" t="s">
        <v>199</v>
      </c>
    </row>
    <row r="14" customFormat="false" ht="42" hidden="false" customHeight="true" outlineLevel="0" collapsed="false">
      <c r="A14" s="10" t="s">
        <v>778</v>
      </c>
      <c r="B14" s="9" t="s">
        <v>785</v>
      </c>
      <c r="C14" s="10" t="s">
        <v>786</v>
      </c>
      <c r="D14" s="10" t="s">
        <v>781</v>
      </c>
      <c r="E14" s="20" t="s">
        <v>226</v>
      </c>
      <c r="F14" s="19" t="s">
        <v>199</v>
      </c>
    </row>
    <row r="15" customFormat="false" ht="42" hidden="false" customHeight="true" outlineLevel="0" collapsed="false">
      <c r="A15" s="13" t="s">
        <v>787</v>
      </c>
      <c r="B15" s="12" t="s">
        <v>788</v>
      </c>
      <c r="C15" s="13" t="s">
        <v>789</v>
      </c>
      <c r="D15" s="13" t="s">
        <v>790</v>
      </c>
      <c r="E15" s="18" t="s">
        <v>50</v>
      </c>
      <c r="F15" s="18" t="s">
        <v>199</v>
      </c>
    </row>
    <row r="16" customFormat="false" ht="42" hidden="false" customHeight="true" outlineLevel="0" collapsed="false">
      <c r="A16" s="10" t="s">
        <v>787</v>
      </c>
      <c r="B16" s="9" t="s">
        <v>791</v>
      </c>
      <c r="C16" s="10" t="s">
        <v>792</v>
      </c>
      <c r="D16" s="10" t="s">
        <v>790</v>
      </c>
      <c r="E16" s="20" t="s">
        <v>226</v>
      </c>
      <c r="F16" s="19" t="s">
        <v>199</v>
      </c>
    </row>
    <row r="17" customFormat="false" ht="42" hidden="false" customHeight="true" outlineLevel="0" collapsed="false">
      <c r="A17" s="13" t="s">
        <v>787</v>
      </c>
      <c r="B17" s="12" t="s">
        <v>793</v>
      </c>
      <c r="C17" s="13" t="s">
        <v>794</v>
      </c>
      <c r="D17" s="13" t="s">
        <v>790</v>
      </c>
      <c r="E17" s="18" t="s">
        <v>44</v>
      </c>
      <c r="F17" s="18" t="s">
        <v>199</v>
      </c>
    </row>
    <row r="18" customFormat="false" ht="42" hidden="false" customHeight="true" outlineLevel="0" collapsed="false">
      <c r="A18" s="10" t="s">
        <v>787</v>
      </c>
      <c r="B18" s="9" t="s">
        <v>795</v>
      </c>
      <c r="C18" s="10" t="s">
        <v>796</v>
      </c>
      <c r="D18" s="10" t="s">
        <v>797</v>
      </c>
      <c r="E18" s="20" t="s">
        <v>226</v>
      </c>
      <c r="F18" s="19" t="s">
        <v>199</v>
      </c>
    </row>
    <row r="19" customFormat="false" ht="42" hidden="false" customHeight="true" outlineLevel="0" collapsed="false">
      <c r="A19" s="13" t="s">
        <v>798</v>
      </c>
      <c r="B19" s="12" t="s">
        <v>799</v>
      </c>
      <c r="C19" s="13" t="s">
        <v>800</v>
      </c>
      <c r="D19" s="13" t="s">
        <v>801</v>
      </c>
      <c r="E19" s="18" t="s">
        <v>56</v>
      </c>
      <c r="F19" s="18" t="s">
        <v>199</v>
      </c>
    </row>
    <row r="20" customFormat="false" ht="42" hidden="false" customHeight="true" outlineLevel="0" collapsed="false">
      <c r="A20" s="10" t="s">
        <v>798</v>
      </c>
      <c r="B20" s="9" t="s">
        <v>802</v>
      </c>
      <c r="C20" s="10" t="s">
        <v>803</v>
      </c>
      <c r="D20" s="10" t="s">
        <v>801</v>
      </c>
      <c r="E20" s="19" t="s">
        <v>50</v>
      </c>
      <c r="F20" s="19" t="s">
        <v>283</v>
      </c>
    </row>
    <row r="21" customFormat="false" ht="42" hidden="false" customHeight="true" outlineLevel="0" collapsed="false">
      <c r="A21" s="13" t="s">
        <v>804</v>
      </c>
      <c r="B21" s="12" t="s">
        <v>805</v>
      </c>
      <c r="C21" s="13" t="s">
        <v>806</v>
      </c>
      <c r="D21" s="13" t="s">
        <v>807</v>
      </c>
      <c r="E21" s="18" t="s">
        <v>50</v>
      </c>
      <c r="F21" s="18" t="s">
        <v>199</v>
      </c>
    </row>
    <row r="22" customFormat="false" ht="42" hidden="false" customHeight="true" outlineLevel="0" collapsed="false">
      <c r="A22" s="10" t="s">
        <v>804</v>
      </c>
      <c r="B22" s="9" t="s">
        <v>808</v>
      </c>
      <c r="C22" s="10" t="s">
        <v>809</v>
      </c>
      <c r="D22" s="10" t="s">
        <v>810</v>
      </c>
      <c r="E22" s="19" t="s">
        <v>50</v>
      </c>
      <c r="F22" s="19" t="s">
        <v>199</v>
      </c>
    </row>
    <row r="24" customFormat="false" ht="15" hidden="false" customHeight="false" outlineLevel="0" collapsed="false">
      <c r="A24" s="6" t="s">
        <v>811</v>
      </c>
    </row>
    <row r="25" customFormat="false" ht="25.5" hidden="false" customHeight="true" outlineLevel="0" collapsed="false">
      <c r="A25" s="17" t="s">
        <v>812</v>
      </c>
      <c r="B25" s="17"/>
      <c r="C25" s="17"/>
      <c r="D25" s="17"/>
      <c r="E25" s="17"/>
      <c r="F25" s="17"/>
    </row>
    <row r="26" customFormat="false" ht="25.5" hidden="false" customHeight="true" outlineLevel="0" collapsed="false">
      <c r="A26" s="17" t="s">
        <v>813</v>
      </c>
      <c r="B26" s="17"/>
      <c r="C26" s="17"/>
      <c r="D26" s="17"/>
      <c r="E26" s="17"/>
      <c r="F26" s="17"/>
    </row>
    <row r="27" customFormat="false" ht="25.5" hidden="false" customHeight="true" outlineLevel="0" collapsed="false">
      <c r="A27" s="17" t="s">
        <v>814</v>
      </c>
      <c r="B27" s="17"/>
      <c r="C27" s="17"/>
      <c r="D27" s="17"/>
      <c r="E27" s="17"/>
      <c r="F27" s="17"/>
    </row>
    <row r="28" customFormat="false" ht="25.5" hidden="false" customHeight="true" outlineLevel="0" collapsed="false">
      <c r="A28" s="17" t="s">
        <v>815</v>
      </c>
      <c r="B28" s="17"/>
      <c r="C28" s="17"/>
      <c r="D28" s="17"/>
      <c r="E28" s="17"/>
      <c r="F28" s="17"/>
    </row>
    <row r="29" customFormat="false" ht="25.5" hidden="false" customHeight="true" outlineLevel="0" collapsed="false">
      <c r="A29" s="17" t="s">
        <v>816</v>
      </c>
      <c r="B29" s="17"/>
      <c r="C29" s="17"/>
      <c r="D29" s="17"/>
      <c r="E29" s="17"/>
      <c r="F29" s="17"/>
    </row>
  </sheetData>
  <mergeCells count="5">
    <mergeCell ref="A25:F25"/>
    <mergeCell ref="A26:F26"/>
    <mergeCell ref="A27:F27"/>
    <mergeCell ref="A28:F28"/>
    <mergeCell ref="A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6"/>
  </cols>
  <sheetData>
    <row r="1" customFormat="false" ht="19.7" hidden="false" customHeight="false" outlineLevel="0" collapsed="false">
      <c r="A1" s="1" t="s">
        <v>817</v>
      </c>
    </row>
    <row r="2" customFormat="false" ht="15" hidden="false" customHeight="false" outlineLevel="0" collapsed="false">
      <c r="A2" s="3" t="s">
        <v>818</v>
      </c>
    </row>
    <row r="4" customFormat="false" ht="15" hidden="false" customHeight="false" outlineLevel="0" collapsed="false">
      <c r="A4" s="6" t="s">
        <v>819</v>
      </c>
    </row>
    <row r="5" customFormat="false" ht="15" hidden="false" customHeight="false" outlineLevel="0" collapsed="false">
      <c r="A5" s="23" t="s">
        <v>820</v>
      </c>
      <c r="B5" s="24" t="n">
        <v>11</v>
      </c>
    </row>
    <row r="6" customFormat="false" ht="15" hidden="false" customHeight="false" outlineLevel="0" collapsed="false">
      <c r="A6" s="23" t="s">
        <v>821</v>
      </c>
      <c r="B6" s="24" t="n">
        <v>6.5</v>
      </c>
    </row>
    <row r="7" customFormat="false" ht="15" hidden="false" customHeight="false" outlineLevel="0" collapsed="false">
      <c r="A7" s="23" t="s">
        <v>822</v>
      </c>
      <c r="B7" s="25" t="n">
        <f aca="false">B5+B6</f>
        <v>17.5</v>
      </c>
    </row>
    <row r="9" customFormat="false" ht="15" hidden="false" customHeight="false" outlineLevel="0" collapsed="false">
      <c r="A9" s="6" t="s">
        <v>823</v>
      </c>
    </row>
    <row r="10" customFormat="false" ht="15" hidden="false" customHeight="false" outlineLevel="0" collapsed="false">
      <c r="A10" s="23" t="s">
        <v>824</v>
      </c>
      <c r="B10" s="26" t="n">
        <v>4000</v>
      </c>
    </row>
    <row r="11" customFormat="false" ht="15" hidden="false" customHeight="false" outlineLevel="0" collapsed="false">
      <c r="A11" s="23" t="s">
        <v>825</v>
      </c>
      <c r="B11" s="26" t="n">
        <v>9</v>
      </c>
    </row>
    <row r="12" customFormat="false" ht="15" hidden="false" customHeight="false" outlineLevel="0" collapsed="false">
      <c r="A12" s="23" t="s">
        <v>826</v>
      </c>
      <c r="B12" s="26" t="n">
        <v>4</v>
      </c>
    </row>
    <row r="13" customFormat="false" ht="15" hidden="false" customHeight="false" outlineLevel="0" collapsed="false">
      <c r="A13" s="23" t="s">
        <v>827</v>
      </c>
      <c r="B13" s="27" t="n">
        <v>6000</v>
      </c>
    </row>
    <row r="15" customFormat="false" ht="15" hidden="false" customHeight="false" outlineLevel="0" collapsed="false">
      <c r="A15" s="6" t="s">
        <v>828</v>
      </c>
    </row>
    <row r="16" customFormat="false" ht="15" hidden="false" customHeight="false" outlineLevel="0" collapsed="false">
      <c r="A16" s="23" t="s">
        <v>829</v>
      </c>
      <c r="B16" s="28" t="n">
        <f aca="false">B10*B7*12</f>
        <v>840000</v>
      </c>
    </row>
    <row r="17" customFormat="false" ht="15" hidden="false" customHeight="false" outlineLevel="0" collapsed="false">
      <c r="A17" s="23" t="s">
        <v>830</v>
      </c>
      <c r="B17" s="28" t="n">
        <f aca="false">B11*B13</f>
        <v>54000</v>
      </c>
    </row>
    <row r="18" customFormat="false" ht="15" hidden="false" customHeight="false" outlineLevel="0" collapsed="false">
      <c r="A18" s="23" t="s">
        <v>831</v>
      </c>
      <c r="B18" s="29" t="n">
        <f aca="false">B16+B17</f>
        <v>894000</v>
      </c>
    </row>
    <row r="19" customFormat="false" ht="15" hidden="false" customHeight="false" outlineLevel="0" collapsed="false">
      <c r="A19" s="23" t="s">
        <v>832</v>
      </c>
      <c r="B19" s="25" t="n">
        <f aca="false">B18/B10/12</f>
        <v>18.625</v>
      </c>
    </row>
    <row r="21" customFormat="false" ht="15" hidden="false" customHeight="false" outlineLevel="0" collapsed="false">
      <c r="A21" s="6" t="s">
        <v>833</v>
      </c>
    </row>
    <row r="22" customFormat="false" ht="15" hidden="false" customHeight="false" outlineLevel="0" collapsed="false">
      <c r="A22" s="23" t="s">
        <v>834</v>
      </c>
      <c r="B22" s="30" t="n">
        <v>0.07</v>
      </c>
    </row>
    <row r="23" customFormat="false" ht="15" hidden="false" customHeight="false" outlineLevel="0" collapsed="false">
      <c r="A23" s="23" t="s">
        <v>835</v>
      </c>
      <c r="B23" s="31" t="n">
        <v>0.095</v>
      </c>
    </row>
    <row r="24" customFormat="false" ht="15" hidden="false" customHeight="false" outlineLevel="0" collapsed="false">
      <c r="A24" s="23" t="s">
        <v>836</v>
      </c>
      <c r="B24" s="30" t="n">
        <v>0.055</v>
      </c>
    </row>
    <row r="25" customFormat="false" ht="15" hidden="false" customHeight="false" outlineLevel="0" collapsed="false">
      <c r="A25" s="23" t="s">
        <v>837</v>
      </c>
      <c r="B25" s="30" t="n">
        <v>0.3</v>
      </c>
    </row>
    <row r="26" customFormat="false" ht="15" hidden="false" customHeight="false" outlineLevel="0" collapsed="false">
      <c r="A26" s="23" t="s">
        <v>838</v>
      </c>
      <c r="B26" s="28" t="n">
        <f aca="false">B16*(B22+B23+B24)+B17*B25</f>
        <v>201000</v>
      </c>
    </row>
    <row r="27" customFormat="false" ht="15" hidden="false" customHeight="false" outlineLevel="0" collapsed="false">
      <c r="A27" s="23" t="s">
        <v>839</v>
      </c>
      <c r="B27" s="28" t="n">
        <f aca="false">B18-B26</f>
        <v>693000</v>
      </c>
    </row>
    <row r="28" customFormat="false" ht="15" hidden="false" customHeight="false" outlineLevel="0" collapsed="false">
      <c r="A28" s="23" t="s">
        <v>840</v>
      </c>
      <c r="B28" s="32" t="n">
        <f aca="false">IFERROR(B27/B18,0)</f>
        <v>0.775167785234899</v>
      </c>
    </row>
    <row r="30" customFormat="false" ht="15" hidden="false" customHeight="false" outlineLevel="0" collapsed="false">
      <c r="A30" s="6" t="s">
        <v>841</v>
      </c>
    </row>
    <row r="31" customFormat="false" ht="15" hidden="false" customHeight="false" outlineLevel="0" collapsed="false">
      <c r="A31" s="23" t="s">
        <v>842</v>
      </c>
      <c r="B31" s="27" t="n">
        <v>380000</v>
      </c>
    </row>
    <row r="32" customFormat="false" ht="15" hidden="false" customHeight="false" outlineLevel="0" collapsed="false">
      <c r="A32" s="23" t="s">
        <v>843</v>
      </c>
      <c r="B32" s="27" t="n">
        <v>120000</v>
      </c>
    </row>
    <row r="33" customFormat="false" ht="15" hidden="false" customHeight="false" outlineLevel="0" collapsed="false">
      <c r="A33" s="23" t="s">
        <v>844</v>
      </c>
      <c r="B33" s="29" t="n">
        <f aca="false">B31+B32</f>
        <v>500000</v>
      </c>
    </row>
    <row r="34" customFormat="false" ht="15" hidden="false" customHeight="false" outlineLevel="0" collapsed="false">
      <c r="A34" s="23" t="s">
        <v>845</v>
      </c>
      <c r="B34" s="28" t="n">
        <f aca="false">B18*0.35</f>
        <v>312900</v>
      </c>
    </row>
    <row r="35" customFormat="false" ht="15" hidden="false" customHeight="false" outlineLevel="0" collapsed="false">
      <c r="A35" s="23" t="s">
        <v>846</v>
      </c>
      <c r="B35" s="30" t="n">
        <v>0.9</v>
      </c>
    </row>
    <row r="36" customFormat="false" ht="15" hidden="false" customHeight="false" outlineLevel="0" collapsed="false">
      <c r="A36" s="23" t="s">
        <v>847</v>
      </c>
      <c r="B36" s="28" t="n">
        <f aca="false">B34*(1-B35)</f>
        <v>31290</v>
      </c>
    </row>
    <row r="37" customFormat="false" ht="15" hidden="false" customHeight="false" outlineLevel="0" collapsed="false">
      <c r="A37" s="23" t="s">
        <v>848</v>
      </c>
      <c r="B37" s="33" t="n">
        <f aca="false">IFERROR((B33-B36)/(B27/12),0)</f>
        <v>8.11619047619048</v>
      </c>
    </row>
    <row r="38" customFormat="false" ht="15" hidden="false" customHeight="false" outlineLevel="0" collapsed="false">
      <c r="A38" s="23" t="s">
        <v>849</v>
      </c>
      <c r="B38" s="30" t="n">
        <v>0.92</v>
      </c>
    </row>
    <row r="39" customFormat="false" ht="15" hidden="false" customHeight="false" outlineLevel="0" collapsed="false">
      <c r="A39" s="23" t="s">
        <v>850</v>
      </c>
      <c r="B39" s="31" t="n">
        <v>1.25</v>
      </c>
    </row>
    <row r="40" customFormat="false" ht="15" hidden="false" customHeight="false" outlineLevel="0" collapsed="false">
      <c r="A40" s="23" t="s">
        <v>851</v>
      </c>
      <c r="B40" s="34" t="n">
        <v>7</v>
      </c>
    </row>
    <row r="41" customFormat="false" ht="15" hidden="false" customHeight="false" outlineLevel="0" collapsed="false">
      <c r="A41" s="23" t="s">
        <v>852</v>
      </c>
      <c r="B41" s="35" t="n">
        <f aca="false">IFERROR(MIN(1/(1-B38),B40),0)</f>
        <v>7</v>
      </c>
    </row>
    <row r="42" customFormat="false" ht="15" hidden="false" customHeight="false" outlineLevel="0" collapsed="false">
      <c r="A42" s="23" t="s">
        <v>853</v>
      </c>
      <c r="B42" s="28" t="n">
        <f aca="false">B27*B41</f>
        <v>4851000</v>
      </c>
    </row>
    <row r="43" customFormat="false" ht="15" hidden="false" customHeight="false" outlineLevel="0" collapsed="false">
      <c r="A43" s="23" t="s">
        <v>854</v>
      </c>
      <c r="B43" s="36" t="n">
        <f aca="false">IFERROR(B42/B33,0)</f>
        <v>9.702</v>
      </c>
    </row>
    <row r="45" customFormat="false" ht="15" hidden="false" customHeight="false" outlineLevel="0" collapsed="false">
      <c r="A45" s="6" t="s">
        <v>855</v>
      </c>
    </row>
    <row r="46" customFormat="false" ht="25.5" hidden="false" customHeight="true" outlineLevel="0" collapsed="false">
      <c r="A46" s="37" t="s">
        <v>856</v>
      </c>
      <c r="B46" s="37"/>
      <c r="C46" s="37"/>
      <c r="D46" s="37"/>
      <c r="E46" s="37"/>
    </row>
    <row r="47" customFormat="false" ht="25.5" hidden="false" customHeight="true" outlineLevel="0" collapsed="false">
      <c r="A47" s="37" t="s">
        <v>857</v>
      </c>
      <c r="B47" s="37"/>
      <c r="C47" s="37"/>
      <c r="D47" s="37"/>
      <c r="E47" s="37"/>
    </row>
    <row r="48" customFormat="false" ht="25.5" hidden="false" customHeight="true" outlineLevel="0" collapsed="false">
      <c r="A48" s="37" t="s">
        <v>858</v>
      </c>
      <c r="B48" s="37"/>
      <c r="C48" s="37"/>
      <c r="D48" s="37"/>
      <c r="E48" s="37"/>
    </row>
    <row r="49" customFormat="false" ht="25.5" hidden="false" customHeight="true" outlineLevel="0" collapsed="false">
      <c r="A49" s="37" t="s">
        <v>859</v>
      </c>
      <c r="B49" s="37"/>
      <c r="C49" s="37"/>
      <c r="D49" s="37"/>
      <c r="E49" s="37"/>
    </row>
    <row r="50" customFormat="false" ht="25.5" hidden="false" customHeight="true" outlineLevel="0" collapsed="false">
      <c r="A50" s="37" t="s">
        <v>860</v>
      </c>
      <c r="B50" s="37"/>
      <c r="C50" s="37"/>
      <c r="D50" s="37"/>
      <c r="E50" s="37"/>
    </row>
    <row r="51" customFormat="false" ht="25.5" hidden="false" customHeight="true" outlineLevel="0" collapsed="false">
      <c r="A51" s="37" t="s">
        <v>861</v>
      </c>
      <c r="B51" s="37"/>
      <c r="C51" s="37"/>
      <c r="D51" s="37"/>
      <c r="E51" s="37"/>
    </row>
    <row r="52" customFormat="false" ht="25.5" hidden="false" customHeight="true" outlineLevel="0" collapsed="false">
      <c r="A52" s="37" t="s">
        <v>862</v>
      </c>
      <c r="B52" s="37"/>
      <c r="C52" s="37"/>
      <c r="D52" s="37"/>
      <c r="E52" s="37"/>
    </row>
    <row r="53" customFormat="false" ht="25.5" hidden="false" customHeight="true" outlineLevel="0" collapsed="false">
      <c r="A53" s="37" t="s">
        <v>863</v>
      </c>
      <c r="B53" s="37"/>
      <c r="C53" s="37"/>
      <c r="D53" s="37"/>
      <c r="E53" s="37"/>
    </row>
  </sheetData>
  <mergeCells count="8">
    <mergeCell ref="A46:E46"/>
    <mergeCell ref="A47:E47"/>
    <mergeCell ref="A48:E48"/>
    <mergeCell ref="A49:E49"/>
    <mergeCell ref="A50:E50"/>
    <mergeCell ref="A51:E51"/>
    <mergeCell ref="A52:E52"/>
    <mergeCell ref="A53:E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2026-08-28T03:14:10Z</dcterms:created>
  <dc:creator>openpyxl</dc:creator>
  <dc:description/>
  <dc:language>en-US</dc:language>
  <cp:lastModifiedBy/>
  <dcterms:modified xsi:type="dcterms:W3CDTF">2026-08-28T03:14:10Z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